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Checks" sheetId="2" state="visible" r:id="rId2"/>
    <sheet xmlns:r="http://schemas.openxmlformats.org/officeDocument/2006/relationships" name="Gate summary"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9">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sz val="10"/>
    </font>
    <font>
      <name val="Arial"/>
      <charset val="1"/>
      <family val="0"/>
      <b val="1"/>
      <sz val="10"/>
    </font>
    <font>
      <name val="Arial"/>
      <charset val="1"/>
      <family val="0"/>
      <i val="1"/>
      <color rgb="FF555555"/>
      <sz val="10"/>
    </font>
    <font>
      <name val="Arial"/>
      <family val="2"/>
      <sz val="10"/>
    </font>
  </fonts>
  <fills count="4">
    <fill>
      <patternFill/>
    </fill>
    <fill>
      <patternFill patternType="gray125"/>
    </fill>
    <fill>
      <patternFill patternType="solid">
        <fgColor rgb="FFDDE7F0"/>
        <bgColor rgb="FFCCFFFF"/>
      </patternFill>
    </fill>
    <fill>
      <patternFill patternType="solid">
        <fgColor rgb="FFFFFF00"/>
        <bgColor rgb="FFFFFF00"/>
      </patternFill>
    </fill>
  </fills>
  <borders count="2">
    <border>
      <left/>
      <right/>
      <top/>
      <bottom/>
      <diagonal/>
    </border>
    <border>
      <left style="thin">
        <color rgb="FFC9D1DA"/>
      </left>
      <right style="thin">
        <color rgb="FFC9D1DA"/>
      </right>
      <top style="thin">
        <color rgb="FFC9D1DA"/>
      </top>
      <bottom style="thin">
        <color rgb="FFC9D1DA"/>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6" fillId="2" borderId="0" applyAlignment="1" pivotButton="0" quotePrefix="0" xfId="0">
      <alignment horizontal="general" vertical="bottom"/>
    </xf>
    <xf numFmtId="0" fontId="7" fillId="0" borderId="0" applyAlignment="1" pivotButton="0" quotePrefix="0" xfId="0">
      <alignment horizontal="general" vertical="bottom"/>
    </xf>
    <xf numFmtId="0" fontId="6" fillId="2" borderId="1" applyAlignment="1" pivotButton="0" quotePrefix="0" xfId="0">
      <alignment horizontal="general" vertical="top"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164" fontId="5" fillId="3" borderId="1"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5" fillId="0" borderId="1" applyAlignment="1" pivotButton="0" quotePrefix="0" xfId="0">
      <alignment horizontal="general" vertical="bottom"/>
    </xf>
    <xf numFmtId="0" fontId="5" fillId="3" borderId="1" applyAlignment="1" pivotButton="0" quotePrefix="0" xfId="0">
      <alignment horizontal="center" vertical="top"/>
    </xf>
    <xf numFmtId="0" fontId="5" fillId="0" borderId="1" applyAlignment="1" pivotButton="0" quotePrefix="0" xfId="0">
      <alignment horizontal="center" vertical="top"/>
    </xf>
    <xf numFmtId="0" fontId="6" fillId="0" borderId="1" applyAlignment="1" pivotButton="0" quotePrefix="0" xfId="0">
      <alignment horizontal="center" vertical="top"/>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6" fillId="2" borderId="0" applyAlignment="1" pivotButton="0" quotePrefix="0" xfId="0">
      <alignment horizontal="general" vertical="bottom"/>
    </xf>
    <xf numFmtId="0" fontId="7" fillId="0" borderId="0" applyAlignment="1" pivotButton="0" quotePrefix="0" xfId="0">
      <alignment horizontal="general" vertical="bottom"/>
    </xf>
    <xf numFmtId="0" fontId="6" fillId="2" borderId="1" applyAlignment="1" pivotButton="0" quotePrefix="0" xfId="0">
      <alignment horizontal="general" vertical="top"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164" fontId="5" fillId="3" borderId="1" applyAlignment="1" pivotButton="0" quotePrefix="0" xfId="0">
      <alignment horizontal="general" vertical="top" wrapText="1"/>
    </xf>
    <xf numFmtId="0" fontId="4" fillId="0" borderId="0" applyAlignment="1" pivotButton="0" quotePrefix="0" xfId="0">
      <alignment horizontal="general" vertical="bottom"/>
    </xf>
    <xf numFmtId="0" fontId="5" fillId="0" borderId="1" applyAlignment="1" pivotButton="0" quotePrefix="0" xfId="0">
      <alignment horizontal="general" vertical="bottom"/>
    </xf>
    <xf numFmtId="0" fontId="5" fillId="3" borderId="1" applyAlignment="1" pivotButton="0" quotePrefix="0" xfId="0">
      <alignment horizontal="center" vertical="top"/>
    </xf>
    <xf numFmtId="0" fontId="5" fillId="0" borderId="1" applyAlignment="1" pivotButton="0" quotePrefix="0" xfId="0">
      <alignment horizontal="center" vertical="top"/>
    </xf>
    <xf numFmtId="0" fontId="6" fillId="0" borderId="1" applyAlignment="1" pivotButton="0" quotePrefix="0" xfId="0">
      <alignment horizontal="center"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7F0"/>
      <rgbColor rgb="FF660066"/>
      <rgbColor rgb="FFFF8080"/>
      <rgbColor rgb="FF0066CC"/>
      <rgbColor rgb="FFC9D1D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Unknown Author</author>
  </authors>
  <commentList>
    <comment ref="F1" authorId="0" shapeId="0">
      <text>
        <t>Yes: found for every case checked. Partly: for some cases; give the count. No: not found. Not checked: still to do.</t>
      </text>
    </comment>
  </commentList>
</comments>
</file>

<file path=xl/comments/comment2.xml><?xml version="1.0" encoding="utf-8"?>
<comments xmlns="http://schemas.openxmlformats.org/spreadsheetml/2006/main">
  <authors>
    <author>Unknown Author</author>
  </authors>
  <commentList>
    <comment ref="B4" authorId="0" shapeId="0">
      <text>
        <t>Required data and tooling are permitted for the intended research use.</t>
      </text>
    </comment>
    <comment ref="C4" authorId="0" shapeId="0">
      <text>
        <t>Accessible data are sufficiently representative for a prototype and test.</t>
      </text>
    </comment>
    <comment ref="D4" authorId="0" shapeId="0">
      <text>
        <t>A reproducible reference standard and manual baseline can be created.</t>
      </text>
    </comment>
    <comment ref="E4" authorId="0" shapeId="0">
      <text>
        <t>Critical errors are detectable or reversible; residual risk is controlled by human review, an audit trail and fallback.</t>
      </text>
    </comment>
    <comment ref="F4" authorId="0" shapeId="0">
      <text>
        <t>Prototype development and evaluation fit the BEP's time, access and participant constraints.</t>
      </text>
    </comment>
    <comment ref="G4" authorId="0" shapeId="0">
      <text>
        <t>Non-trivial AI fit: AI support creates value beyond a simpler deterministic rule.</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F2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110" customWidth="1" style="19" min="1" max="1"/>
    <col width="22" customWidth="1" style="19" min="2" max="6"/>
  </cols>
  <sheetData>
    <row r="1" ht="17.35" customHeight="1" s="20">
      <c r="A1" s="21" t="inlineStr">
        <is>
          <t>Stage A worksheet: Exact test-account check</t>
        </is>
      </c>
    </row>
    <row r="2" ht="15" customHeight="1" s="20">
      <c r="A2" s="22" t="inlineStr">
        <is>
          <t>Prepared 7 October 2026 for the Stage A veto gates (methodology §5.3). Fill in during the check of the Exact test account. Updated 7 October: G1 and G2 answered. Updated 13 October: first results from the October 2025 PO list (207 POs) and a sample of 21 of its POs (G4, G6 to G8, PC2 to PC4, PC6, SR1; a note on PC8); 'Provisional' marks entries that need an earlier, complete month or more cases.</t>
        </is>
      </c>
    </row>
    <row r="3" ht="15" customHeight="1" s="20">
      <c r="A3" s="22" t="n"/>
    </row>
    <row r="4" ht="15" customHeight="1" s="20">
      <c r="A4" s="23" t="inlineStr">
        <is>
          <t>Purpose</t>
        </is>
      </c>
    </row>
    <row r="5" ht="23.85" customHeight="1" s="20">
      <c r="A5" s="22" t="inlineStr">
        <is>
          <t>The check settles gates 1–3 for each candidate and fills the data-readiness, prototype and evaluation cells of the evidence matrix (docs/analyze/Candidate_Evidence_Matrix_2026-10-07.md). It does not score any candidate.</t>
        </is>
      </c>
    </row>
    <row r="6" ht="15" customHeight="1" s="20">
      <c r="A6" s="22" t="n"/>
    </row>
    <row r="7" ht="15" customHeight="1" s="20">
      <c r="A7" s="23" t="inlineStr">
        <is>
          <t>How to fill it in</t>
        </is>
      </c>
    </row>
    <row r="8" ht="23.85" customHeight="1" s="20">
      <c r="A8" s="22" t="inlineStr">
        <is>
          <t>1. G1 and G2 on the 'Checks' sheet are answered: Johan's permission covers the test-account data and an external AI service (7 October). G3, what to anonymise in the thesis, is still to ask Johan; it sets how results are reported, not whether the data may be used.</t>
        </is>
      </c>
    </row>
    <row r="9" ht="15" customHeight="1" s="20">
      <c r="A9" s="22" t="inlineStr">
        <is>
          <t>2. Then G4–G8 for the account as a whole, then the rows per candidate.</t>
        </is>
      </c>
    </row>
    <row r="10" ht="15" customHeight="1" s="20">
      <c r="A10" s="22" t="inlineStr">
        <is>
          <t>3. Only the yellow cells are for you: 'Found' (choose from the list), 'Count or period', 'Where in Exact', 'Notes' and 'Checked on'.</t>
        </is>
      </c>
    </row>
    <row r="11" ht="15" customHeight="1" s="20">
      <c r="A11" s="22" t="inlineStr">
        <is>
          <t>4. Record what you see, not what you expect. 'Partly' means some records exist but not for every case; say how many in 'Count or period'.</t>
        </is>
      </c>
    </row>
    <row r="12" ht="15" customHeight="1" s="20">
      <c r="A12" s="22" t="inlineStr">
        <is>
          <t>5. When the checks for a candidate are done, set its gates on the 'Gate summary' sheet. Gates 4–6 also need the Arno session and the AI function table.</t>
        </is>
      </c>
    </row>
    <row r="13" ht="15" customHeight="1" s="20">
      <c r="A13" s="22" t="n"/>
    </row>
    <row r="14" ht="15" customHeight="1" s="20">
      <c r="A14" s="23" t="inlineStr">
        <is>
          <t>Confidentiality</t>
        </is>
      </c>
    </row>
    <row r="15" ht="15" customHeight="1" s="20">
      <c r="A15" s="22" t="inlineStr">
        <is>
          <t>This file is stored in the GitHub repository. Record counts, periods, yes or no and where things are; do not paste supplier names, prices, people or document contents into it.</t>
        </is>
      </c>
    </row>
    <row r="16" ht="15" customHeight="1" s="20">
      <c r="A16" s="22" t="n"/>
    </row>
    <row r="17" ht="15" customHeight="1" s="20">
      <c r="A17" s="23" t="inlineStr">
        <is>
          <t>Background</t>
        </is>
      </c>
    </row>
    <row r="18" ht="23.85" customHeight="1" s="20">
      <c r="A18" s="22" t="inlineStr">
        <is>
          <t>Johan permits using data in the Exact test account (reported by Yijie on 2 October) and processing its documents with an external AI service (confirmed by Yijie on 7 October). The account holds past cases from an earlier period and is not up to date, which matters for gate 2.</t>
        </is>
      </c>
    </row>
    <row r="19" ht="15" customHeight="1" s="20">
      <c r="A19" s="22" t="n"/>
    </row>
    <row r="20" ht="15" customHeight="1" s="20">
      <c r="A20" s="23" t="inlineStr">
        <is>
          <t>Progress</t>
        </is>
      </c>
    </row>
    <row r="21" ht="15" customHeight="1" s="20">
      <c r="A21" s="24" t="inlineStr">
        <is>
          <t>Items checked (any answer other than 'Not checked')</t>
        </is>
      </c>
      <c r="B21" s="24">
        <f>COUNTIFS(Checks!F2:F32,"&lt;&gt;Not checked",Checks!F2:F32,"&lt;&gt;")</f>
        <v/>
      </c>
    </row>
    <row r="22" ht="15" customHeight="1" s="20">
      <c r="A22" s="24" t="inlineStr">
        <is>
          <t>Items in total</t>
        </is>
      </c>
      <c r="B22" s="24">
        <f>COUNTA(Checks!A2:A32)</f>
        <v/>
      </c>
    </row>
    <row r="24" ht="15" customHeight="1" s="20">
      <c r="A24" s="25" t="inlineStr">
        <is>
          <t>Example row (invented, not a real result), showing the expected format:</t>
        </is>
      </c>
    </row>
    <row r="25" ht="15" customHeight="1" s="20">
      <c r="A25" s="26" t="inlineStr">
        <is>
          <t>ID</t>
        </is>
      </c>
      <c r="B25" s="26" t="inlineStr">
        <is>
          <t>Found</t>
        </is>
      </c>
      <c r="C25" s="26" t="inlineStr">
        <is>
          <t>Count or period</t>
        </is>
      </c>
      <c r="D25" s="26" t="inlineStr">
        <is>
          <t>Where in Exact</t>
        </is>
      </c>
      <c r="E25" s="26" t="inlineStr">
        <is>
          <t>Notes</t>
        </is>
      </c>
      <c r="F25" s="26" t="inlineStr">
        <is>
          <t>Checked on</t>
        </is>
      </c>
    </row>
    <row r="26" ht="15" customHeight="1" s="20">
      <c r="A26" s="27" t="inlineStr">
        <is>
          <t>PC2</t>
        </is>
      </c>
      <c r="B26" s="27" t="inlineStr">
        <is>
          <t>Partly</t>
        </is>
      </c>
      <c r="C26" s="27" t="inlineStr">
        <is>
          <t>12 of 20 POs (March)</t>
        </is>
      </c>
      <c r="D26" s="27" t="inlineStr">
        <is>
          <t>Documents tab of the purchase order</t>
        </is>
      </c>
      <c r="E26" s="27" t="inlineStr">
        <is>
          <t>PDF confirmations; the others seem to stay in Outlook</t>
        </is>
      </c>
      <c r="F26" s="27" t="inlineStr">
        <is>
          <t>2026-10-09</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32"/>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5390625" defaultRowHeight="15" zeroHeight="0" outlineLevelRow="0"/>
  <cols>
    <col width="7" customWidth="1" style="19" min="1" max="1"/>
    <col width="24" customWidth="1" style="19" min="2" max="2"/>
    <col width="20" customWidth="1" style="19" min="3" max="3"/>
    <col width="55" customWidth="1" style="19" min="4" max="4"/>
    <col width="40" customWidth="1" style="19" min="5" max="5"/>
    <col width="13" customWidth="1" style="19" min="6" max="6"/>
    <col width="20" customWidth="1" style="19" min="7" max="7"/>
    <col width="24" customWidth="1" style="19" min="8" max="8"/>
    <col width="40" customWidth="1" style="19" min="9" max="9"/>
    <col width="12" customWidth="1" style="19" min="10" max="10"/>
  </cols>
  <sheetData>
    <row r="1" ht="15" customHeight="1" s="20">
      <c r="A1" s="28" t="inlineStr">
        <is>
          <t>ID</t>
        </is>
      </c>
      <c r="B1" s="28" t="inlineStr">
        <is>
          <t>Candidate</t>
        </is>
      </c>
      <c r="C1" s="28" t="inlineStr">
        <is>
          <t>Gate or criterion</t>
        </is>
      </c>
      <c r="D1" s="28" t="inlineStr">
        <is>
          <t>What to find out</t>
        </is>
      </c>
      <c r="E1" s="28" t="inlineStr">
        <is>
          <t>How to check</t>
        </is>
      </c>
      <c r="F1" s="28" t="inlineStr">
        <is>
          <t>Found</t>
        </is>
      </c>
      <c r="G1" s="28" t="inlineStr">
        <is>
          <t>Count or period</t>
        </is>
      </c>
      <c r="H1" s="28" t="inlineStr">
        <is>
          <t>Where in Exact</t>
        </is>
      </c>
      <c r="I1" s="28" t="inlineStr">
        <is>
          <t>Notes (no confidential content)</t>
        </is>
      </c>
      <c r="J1" s="28" t="inlineStr">
        <is>
          <t>Checked on</t>
        </is>
      </c>
    </row>
    <row r="2" ht="23.85" customHeight="1" s="20">
      <c r="A2" s="29" t="inlineStr">
        <is>
          <t>G1</t>
        </is>
      </c>
      <c r="B2" s="29" t="inlineStr">
        <is>
          <t>All candidates</t>
        </is>
      </c>
      <c r="C2" s="29" t="inlineStr">
        <is>
          <t>Gate 1</t>
        </is>
      </c>
      <c r="D2" s="29" t="inlineStr">
        <is>
          <t>Johan's permission in writing: test-account data may be used for the analysis, a prototype, testing with the buyers, and the thesis (anonymised).</t>
        </is>
      </c>
      <c r="E2" s="29" t="inlineStr">
        <is>
          <t>Ask Johan by email and keep the reply.</t>
        </is>
      </c>
      <c r="F2" s="30" t="inlineStr">
        <is>
          <t>Yes</t>
        </is>
      </c>
      <c r="G2" s="30" t="n"/>
      <c r="H2" s="30" t="n"/>
      <c r="I2" s="30" t="inlineStr">
        <is>
          <t>Permission confirmed by Yijie on 7 October. Keep Johan's reply with the project records.</t>
        </is>
      </c>
      <c r="J2" s="31" t="n">
        <v>46302</v>
      </c>
    </row>
    <row r="3" ht="35.05" customHeight="1" s="20">
      <c r="A3" s="29" t="inlineStr">
        <is>
          <t>G2</t>
        </is>
      </c>
      <c r="B3" s="29" t="inlineStr">
        <is>
          <t>All candidates</t>
        </is>
      </c>
      <c r="C3" s="29" t="inlineStr">
        <is>
          <t>Gate 1</t>
        </is>
      </c>
      <c r="D3" s="29" t="inlineStr">
        <is>
          <t>Whether test-account documents may be processed by an external AI service (cloud), or only by tools that run locally.</t>
        </is>
      </c>
      <c r="E3" s="29" t="inlineStr">
        <is>
          <t>Ask Johan, and IT if needed.</t>
        </is>
      </c>
      <c r="F3" s="30" t="inlineStr">
        <is>
          <t>Yes</t>
        </is>
      </c>
      <c r="G3" s="30" t="n"/>
      <c r="H3" s="30" t="n"/>
      <c r="I3" s="30" t="inlineStr">
        <is>
          <t>External AI service permitted (confirmed by Yijie on 7 October). Note any conditions Johan set, such as which service.</t>
        </is>
      </c>
      <c r="J3" s="31" t="n">
        <v>46302</v>
      </c>
    </row>
    <row r="4" ht="15" customHeight="1" s="20">
      <c r="A4" s="29" t="inlineStr">
        <is>
          <t>G3</t>
        </is>
      </c>
      <c r="B4" s="29" t="inlineStr">
        <is>
          <t>All candidates</t>
        </is>
      </c>
      <c r="C4" s="29" t="inlineStr">
        <is>
          <t>Gate 1</t>
        </is>
      </c>
      <c r="D4" s="29" t="inlineStr">
        <is>
          <t>What must be anonymised in the thesis: supplier names, prices, people.</t>
        </is>
      </c>
      <c r="E4" s="29" t="inlineStr">
        <is>
          <t>Ask Johan.</t>
        </is>
      </c>
      <c r="F4" s="30" t="inlineStr">
        <is>
          <t>Not checked</t>
        </is>
      </c>
      <c r="G4" s="30" t="n"/>
      <c r="H4" s="30" t="n"/>
      <c r="I4" s="30" t="n"/>
      <c r="J4" s="31" t="n"/>
    </row>
    <row r="5" ht="15" customHeight="1" s="20">
      <c r="A5" s="29" t="inlineStr">
        <is>
          <t>G4</t>
        </is>
      </c>
      <c r="B5" s="29" t="inlineStr">
        <is>
          <t>All candidates</t>
        </is>
      </c>
      <c r="C5" s="29" t="inlineStr">
        <is>
          <t>Gate 2</t>
        </is>
      </c>
      <c r="D5" s="29" t="inlineStr">
        <is>
          <t>The period the test account covers (first and last order date) and when it was copied.</t>
        </is>
      </c>
      <c r="E5" s="29" t="inlineStr">
        <is>
          <t>Sort the purchase orders by date.</t>
        </is>
      </c>
      <c r="F5" s="30" t="inlineStr">
        <is>
          <t>Partly</t>
        </is>
      </c>
      <c r="G5" s="30" t="inlineStr">
        <is>
          <t>Order dates in the October 2025 list run to 30 Oct 2025; first order date not checked (IT: 2012 to October 2025); copy date unknown</t>
        </is>
      </c>
      <c r="H5" s="30" t="inlineStr">
        <is>
          <t>Bestellingen list, sorted by order date</t>
        </is>
      </c>
      <c r="I5" s="30" t="inlineStr">
        <is>
          <t>Provisional. The follow-up of late-October POs looks cut off: an invoice amount on 13 of 22 POs ordered in week 40, 0 of 22 in week 44. Use an earlier, complete month for further samples. Ask IT for the copy date.</t>
        </is>
      </c>
      <c r="J5" s="31" t="n">
        <v>46308</v>
      </c>
    </row>
    <row r="6" ht="23.85" customHeight="1" s="20">
      <c r="A6" s="29" t="inlineStr">
        <is>
          <t>G5</t>
        </is>
      </c>
      <c r="B6" s="29" t="inlineStr">
        <is>
          <t>All candidates</t>
        </is>
      </c>
      <c r="C6" s="29" t="inlineStr">
        <is>
          <t>Gate 2</t>
        </is>
      </c>
      <c r="D6" s="29" t="inlineStr">
        <is>
          <t>What has changed since that period: Exact version, price policy, approval limit, main suppliers.</t>
        </is>
      </c>
      <c r="E6" s="29" t="inlineStr">
        <is>
          <t>Ask Arno or Dennis.</t>
        </is>
      </c>
      <c r="F6" s="30" t="inlineStr">
        <is>
          <t>Not checked</t>
        </is>
      </c>
      <c r="G6" s="30" t="n"/>
      <c r="H6" s="30" t="n"/>
      <c r="I6" s="30" t="n"/>
      <c r="J6" s="31" t="n"/>
    </row>
    <row r="7" ht="15" customHeight="1" s="20">
      <c r="A7" s="29" t="inlineStr">
        <is>
          <t>G6</t>
        </is>
      </c>
      <c r="B7" s="29" t="inlineStr">
        <is>
          <t>All candidates</t>
        </is>
      </c>
      <c r="C7" s="29" t="inlineStr">
        <is>
          <t>Prototype feasibility</t>
        </is>
      </c>
      <c r="D7" s="29" t="inlineStr">
        <is>
          <t>Whether lists can be exported to Excel or CSV, and whether your access is read-only.</t>
        </is>
      </c>
      <c r="E7" s="29" t="inlineStr">
        <is>
          <t>Try exporting the purchase-order list.</t>
        </is>
      </c>
      <c r="F7" s="30" t="inlineStr">
        <is>
          <t>Partly</t>
        </is>
      </c>
      <c r="G7" s="30" t="inlineStr">
        <is>
          <t>1 export: October 2025 purchase-order list (207 POs, header fields, no order lines)</t>
        </is>
      </c>
      <c r="H7" s="30" t="inlineStr">
        <is>
          <t>Bestellingen list, export to Excel; single PDFs via Downloaden in the Bijlage window</t>
        </is>
      </c>
      <c r="I7" s="30" t="inlineStr">
        <is>
          <t>Export works; moving files out of the virtual desktop was awkward. Line export (PC1), bulk export of attachments and read-only status not yet tried.</t>
        </is>
      </c>
      <c r="J7" s="31" t="n">
        <v>46308</v>
      </c>
    </row>
    <row r="8" ht="23.85" customHeight="1" s="20">
      <c r="A8" s="29" t="inlineStr">
        <is>
          <t>G7</t>
        </is>
      </c>
      <c r="B8" s="29" t="inlineStr">
        <is>
          <t>All candidates</t>
        </is>
      </c>
      <c r="C8" s="29" t="inlineStr">
        <is>
          <t>Gate 2</t>
        </is>
      </c>
      <c r="D8" s="29" t="inlineStr">
        <is>
          <t>Which parts hold data: purchase orders and lines, receipts, invoices, items, suppliers, attached documents, MRP advice (Advies).</t>
        </is>
      </c>
      <c r="E8" s="29" t="inlineStr">
        <is>
          <t>Open each part and note whether it holds records.</t>
        </is>
      </c>
      <c r="F8" s="30" t="inlineStr">
        <is>
          <t>Partly</t>
        </is>
      </c>
      <c r="G8" s="30" t="inlineStr">
        <is>
          <t>October 2025: receipt quantity on 129 POs, invoice amount on 67, attachment mark on all 207</t>
        </is>
      </c>
      <c r="H8" s="30" t="inlineStr">
        <is>
          <t>Bestellingen list columns; Bijlage window; status bar (Besteld, Gefiatteerd, Verricht, Bevestigd, Ontvangen, Gefactureerd, Betaald)</t>
        </is>
      </c>
      <c r="I8" s="30" t="inlineStr">
        <is>
          <t>Attachment types seen on the 21 sampled POs: PO PDFs, supplier confirmations, packing slips, other logistics documents, receipts, purchase invoices. The attachment mark is set on every PO, so it does not show whether a confirmation is attached. Items, suppliers and MRP advice not yet opened.</t>
        </is>
      </c>
      <c r="J8" s="31" t="n">
        <v>46308</v>
      </c>
    </row>
    <row r="9" ht="23.85" customHeight="1" s="20">
      <c r="A9" s="29" t="inlineStr">
        <is>
          <t>G8</t>
        </is>
      </c>
      <c r="B9" s="29" t="inlineStr">
        <is>
          <t>All candidates</t>
        </is>
      </c>
      <c r="C9" s="29" t="inlineStr">
        <is>
          <t>Repetition</t>
        </is>
      </c>
      <c r="D9" s="29" t="inlineStr">
        <is>
          <t>Number of purchase orders and order lines per month, for the last full months in the account.</t>
        </is>
      </c>
      <c r="E9" s="29" t="inlineStr">
        <is>
          <t>Count from an export.</t>
        </is>
      </c>
      <c r="F9" s="30" t="inlineStr">
        <is>
          <t>Partly</t>
        </is>
      </c>
      <c r="G9" s="30" t="inlineStr">
        <is>
          <t>Provisional: October 2025: 207 POs on 21 order days (median 6 per order day; 97 with a Tuesday order date); order lines not counted; October may be incomplete in the copy (see G4)</t>
        </is>
      </c>
      <c r="H9" s="30" t="inlineStr">
        <is>
          <t>Bestellingen list</t>
        </is>
      </c>
      <c r="I9" s="30" t="inlineStr">
        <is>
          <t>One month, header level only. Lines per PO and further months still to do (PC1, PC7).</t>
        </is>
      </c>
      <c r="J9" s="31" t="n">
        <v>46308</v>
      </c>
    </row>
    <row r="10" ht="15" customHeight="1" s="20">
      <c r="A10" s="29" t="inlineStr">
        <is>
          <t>PC1</t>
        </is>
      </c>
      <c r="B10" s="29" t="inlineStr">
        <is>
          <t>Purchase-price control</t>
        </is>
      </c>
      <c r="C10" s="29" t="inlineStr">
        <is>
          <t>Gate 2 / data readiness</t>
        </is>
      </c>
      <c r="D10" s="29" t="inlineStr">
        <is>
          <t>PO lines with item, quantity, unit price and date can be exported.</t>
        </is>
      </c>
      <c r="E10" s="29" t="inlineStr">
        <is>
          <t>Export the order lines of one month.</t>
        </is>
      </c>
      <c r="F10" s="30" t="inlineStr">
        <is>
          <t>Not checked</t>
        </is>
      </c>
      <c r="G10" s="30" t="n"/>
      <c r="H10" s="30" t="n"/>
      <c r="I10" s="30" t="n"/>
      <c r="J10" s="31" t="n"/>
    </row>
    <row r="11" ht="23.85" customHeight="1" s="20">
      <c r="A11" s="29" t="inlineStr">
        <is>
          <t>PC2</t>
        </is>
      </c>
      <c r="B11" s="29" t="inlineStr">
        <is>
          <t>Purchase-price control</t>
        </is>
      </c>
      <c r="C11" s="29" t="inlineStr">
        <is>
          <t>Gate 2 / data readiness</t>
        </is>
      </c>
      <c r="D11" s="29" t="inlineStr">
        <is>
          <t>Supplier confirmations are stored with their PO (attached PDF, email or scan).</t>
        </is>
      </c>
      <c r="E11" s="29" t="inlineStr">
        <is>
          <t>Take 20 POs from one month; count how many have a confirmation attached.</t>
        </is>
      </c>
      <c r="F11" s="30" t="inlineStr">
        <is>
          <t>Partly</t>
        </is>
      </c>
      <c r="G11" s="30" t="inlineStr">
        <is>
          <t>Provisional: 10 of 21 sampled POs have a supplier confirmation attached (10 of 20 without one zero-value service order): open POs 5 of 12, completed POs 5 of 9. Sample: every 10th PO of the October 2025 list</t>
        </is>
      </c>
      <c r="H11" s="30" t="inlineStr">
        <is>
          <t>Bestellingen list &gt; select the PO &gt; Bijlage window; status bar under the list. Confirmations are filed as document type 'Purchase quotation' with subject 'OB' or 'OC'</t>
        </is>
      </c>
      <c r="I11" s="30" t="inlineStr">
        <is>
          <t>One viewer. Completed POs: screenshots of the Bijlage window and status bar, kept outside GitHub (5 of 9 on file); open POs: Yijie's own notes, no screenshots. Wilson 95% interval for 10 of 21: 28% to 68%. One of the 10 confirmations is a file named like the PO (possibly a countersigned PO), still to open. Completed POs are reached through the Bijlage window of the list; the route first used found only open POs. The Bevestigd status agrees with a stored confirmation on 7 of the 9 completed POs (one registered without a stored confirmation, one stored without registration), so it is only a rough proxy. October 2025 is the last month in the copy: repeat on an earlier, complete month.</t>
        </is>
      </c>
      <c r="J11" s="31" t="n">
        <v>46308</v>
      </c>
    </row>
    <row r="12" ht="15" customHeight="1" s="20">
      <c r="A12" s="29" t="inlineStr">
        <is>
          <t>PC3</t>
        </is>
      </c>
      <c r="B12" s="29" t="inlineStr">
        <is>
          <t>Purchase-price control</t>
        </is>
      </c>
      <c r="C12" s="29" t="inlineStr">
        <is>
          <t>Gate 2</t>
        </is>
      </c>
      <c r="D12" s="29" t="inlineStr">
        <is>
          <t>Quotations are stored with the PO or the item.</t>
        </is>
      </c>
      <c r="E12" s="29" t="inlineStr">
        <is>
          <t>Same 20 POs: count those with a quotation.</t>
        </is>
      </c>
      <c r="F12" s="30" t="inlineStr">
        <is>
          <t>No</t>
        </is>
      </c>
      <c r="G12" s="30" t="inlineStr">
        <is>
          <t>Provisional: 0 of the 9 completed sampled POs show a quotation among their attachments (one list only partly visible); the 12 open POs were not checked for quotations; item card not checked</t>
        </is>
      </c>
      <c r="H12" s="30" t="inlineStr">
        <is>
          <t>Bestellingen list &gt; select the PO &gt; Bijlage window; status bar under the list</t>
        </is>
      </c>
      <c r="I12" s="30" t="inlineStr">
        <is>
          <t>Document type 'Purchase quotation' is used for packing slips and confirmations, so a quotation can only be recognised by its subject or content.</t>
        </is>
      </c>
      <c r="J12" s="31" t="n">
        <v>46308</v>
      </c>
    </row>
    <row r="13" ht="23.85" customHeight="1" s="20">
      <c r="A13" s="29" t="inlineStr">
        <is>
          <t>PC4</t>
        </is>
      </c>
      <c r="B13" s="29" t="inlineStr">
        <is>
          <t>Purchase-price control</t>
        </is>
      </c>
      <c r="C13" s="29" t="inlineStr">
        <is>
          <t>Gate 3 / evaluation</t>
        </is>
      </c>
      <c r="D13" s="29" t="inlineStr">
        <is>
          <t>The correct price per line can be traced: confirmed price, corrected PO price or invoice price.</t>
        </is>
      </c>
      <c r="E13" s="29" t="inlineStr">
        <is>
          <t>For the POs with a confirmation, compare the PO price with the confirmation and the invoice.</t>
        </is>
      </c>
      <c r="F13" s="30" t="inlineStr">
        <is>
          <t>Partly</t>
        </is>
      </c>
      <c r="G13" s="30" t="inlineStr">
        <is>
          <t>Price traceable through the invoice on completed POs that have been invoiced (7 of 9 completed sampled POs; 48 of 94 completed October POs carry an invoice amount). Among these 48, the invoiced amount differs from the ordered amount by more than 1% in 19 (header totals)</t>
        </is>
      </c>
      <c r="H13" s="30" t="inlineStr">
        <is>
          <t>Invoice PDF in the Bijlage window, whose last page shows Exact's invoice-matching check (Systeemakkoord); invoice column of the Bestellingen list</t>
        </is>
      </c>
      <c r="I13" s="30" t="inlineStr">
        <is>
          <t>Provisional. Opened case: invoice and PO differ by about 11% (a line discount). Freight, surcharges and partial billing also cause invoice gaps, so each of the 19 needs opening. Confirmation against PO compared on 1 of the 10 POs with a confirmation (a later PO version matches the confirmation); 9 still to compare, 5 of them with two or more PO PDFs.</t>
        </is>
      </c>
      <c r="J13" s="31" t="n">
        <v>46308</v>
      </c>
    </row>
    <row r="14" ht="23.85" customHeight="1" s="20">
      <c r="A14" s="29" t="inlineStr">
        <is>
          <t>PC5</t>
        </is>
      </c>
      <c r="B14" s="29" t="inlineStr">
        <is>
          <t>Purchase-price control</t>
        </is>
      </c>
      <c r="C14" s="29" t="inlineStr">
        <is>
          <t>Gate 3 / business value</t>
        </is>
      </c>
      <c r="D14" s="29" t="inlineStr">
        <is>
          <t>The stored item price in Exact and when it was last changed.</t>
        </is>
      </c>
      <c r="E14" s="29" t="inlineStr">
        <is>
          <t>Open 10 frequently ordered items; note the date of the last price change.</t>
        </is>
      </c>
      <c r="F14" s="30" t="inlineStr">
        <is>
          <t>Not checked</t>
        </is>
      </c>
      <c r="G14" s="30" t="n"/>
      <c r="H14" s="30" t="n"/>
      <c r="I14" s="30" t="n"/>
      <c r="J14" s="31" t="n"/>
    </row>
    <row r="15" ht="15" customHeight="1" s="20">
      <c r="A15" s="29" t="inlineStr">
        <is>
          <t>PC6</t>
        </is>
      </c>
      <c r="B15" s="29" t="inlineStr">
        <is>
          <t>Purchase-price control</t>
        </is>
      </c>
      <c r="C15" s="29" t="inlineStr">
        <is>
          <t>Evaluation feasibility</t>
        </is>
      </c>
      <c r="D15" s="29" t="inlineStr">
        <is>
          <t>Past cases with a known difference between PO price and confirmation or invoice.</t>
        </is>
      </c>
      <c r="E15" s="29" t="inlineStr">
        <is>
          <t>Count the differences found in PC4.</t>
        </is>
      </c>
      <c r="F15" s="30" t="inlineStr">
        <is>
          <t>Partly</t>
        </is>
      </c>
      <c r="G15" s="30" t="inlineStr">
        <is>
          <t>Provisional: 1 PO-confirmation price difference corrected in a later PO version; 1 PO-invoice price difference; 1 PO with a price change and an added item between PO versions and no confirmation; 19 invoice gaps above 1% still to examine</t>
        </is>
      </c>
      <c r="H15" s="30" t="inlineStr">
        <is>
          <t>PO versions, confirmations and invoices in the Bijlage window</t>
        </is>
      </c>
      <c r="I15" s="30" t="inlineStr">
        <is>
          <t>Changes between PO versions are not yet confirmed as differences between PO and confirmation; on one PO with two confirmations, items may have been added after ordering (Yijie's inference).</t>
        </is>
      </c>
      <c r="J15" s="31" t="n">
        <v>46308</v>
      </c>
    </row>
    <row r="16" ht="23.85" customHeight="1" s="20">
      <c r="A16" s="29" t="inlineStr">
        <is>
          <t>PC7</t>
        </is>
      </c>
      <c r="B16" s="29" t="inlineStr">
        <is>
          <t>Purchase-price control</t>
        </is>
      </c>
      <c r="C16" s="29" t="inlineStr">
        <is>
          <t>Evaluation feasibility</t>
        </is>
      </c>
      <c r="D16" s="29" t="inlineStr">
        <is>
          <t>How many lines POs have: 1, 2–5, 6–20, more than 20 (for test workloads, Zhongxin's fallback of 1 October).</t>
        </is>
      </c>
      <c r="E16" s="29" t="inlineStr">
        <is>
          <t>Count from the export of PC1.</t>
        </is>
      </c>
      <c r="F16" s="30" t="inlineStr">
        <is>
          <t>Not checked</t>
        </is>
      </c>
      <c r="G16" s="30" t="n"/>
      <c r="H16" s="30" t="n"/>
      <c r="I16" s="30" t="n"/>
      <c r="J16" s="31" t="n"/>
    </row>
    <row r="17" ht="23.85" customHeight="1" s="20">
      <c r="A17" s="29" t="inlineStr">
        <is>
          <t>PC8</t>
        </is>
      </c>
      <c r="B17" s="29" t="inlineStr">
        <is>
          <t>Purchase-price control</t>
        </is>
      </c>
      <c r="C17" s="29" t="inlineStr">
        <is>
          <t>Gate 4</t>
        </is>
      </c>
      <c r="D17" s="29" t="inlineStr">
        <is>
          <t>Changes to a PO price are logged (who, when), so a mistake can be found and undone.</t>
        </is>
      </c>
      <c r="E17" s="29" t="inlineStr">
        <is>
          <t>Look for a change history on a PO.</t>
        </is>
      </c>
      <c r="F17" s="30" t="inlineStr">
        <is>
          <t>Not checked</t>
        </is>
      </c>
      <c r="G17" s="30" t="n"/>
      <c r="H17" s="30" t="n"/>
      <c r="I17" s="30" t="inlineStr">
        <is>
          <t>Earlier PO versions are kept as PDFs (two or three PO PDFs on 10 of 21 sampled POs). A change log (who changed what, and when) not yet looked for.</t>
        </is>
      </c>
      <c r="J17" s="31" t="n"/>
    </row>
    <row r="18" ht="15" customHeight="1" s="20">
      <c r="A18" s="29" t="inlineStr">
        <is>
          <t>MX1</t>
        </is>
      </c>
      <c r="B18" s="29" t="inlineStr">
        <is>
          <t>Maximalisatie</t>
        </is>
      </c>
      <c r="C18" s="29" t="inlineStr">
        <is>
          <t>Gate 2</t>
        </is>
      </c>
      <c r="D18" s="29" t="inlineStr">
        <is>
          <t>MRP advice (Advies) with dates is available.</t>
        </is>
      </c>
      <c r="E18" s="29" t="inlineStr">
        <is>
          <t>Open the advice list; note the dates it covers.</t>
        </is>
      </c>
      <c r="F18" s="30" t="inlineStr">
        <is>
          <t>Not checked</t>
        </is>
      </c>
      <c r="G18" s="30" t="n"/>
      <c r="H18" s="30" t="n"/>
      <c r="I18" s="30" t="n"/>
      <c r="J18" s="31" t="n"/>
    </row>
    <row r="19" ht="15" customHeight="1" s="20">
      <c r="A19" s="29" t="inlineStr">
        <is>
          <t>MX2</t>
        </is>
      </c>
      <c r="B19" s="29" t="inlineStr">
        <is>
          <t>Maximalisatie</t>
        </is>
      </c>
      <c r="C19" s="29" t="inlineStr">
        <is>
          <t>Gate 2 / data readiness</t>
        </is>
      </c>
      <c r="D19" s="29" t="inlineStr">
        <is>
          <t>Stock levels, open POs and lead times per item are available.</t>
        </is>
      </c>
      <c r="E19" s="29" t="inlineStr">
        <is>
          <t>Check 5 items.</t>
        </is>
      </c>
      <c r="F19" s="30" t="inlineStr">
        <is>
          <t>Not checked</t>
        </is>
      </c>
      <c r="G19" s="30" t="n"/>
      <c r="H19" s="30" t="n"/>
      <c r="I19" s="30" t="n"/>
      <c r="J19" s="31" t="n"/>
    </row>
    <row r="20" ht="23.85" customHeight="1" s="20">
      <c r="A20" s="29" t="inlineStr">
        <is>
          <t>MX3</t>
        </is>
      </c>
      <c r="B20" s="29" t="inlineStr">
        <is>
          <t>Maximalisatie</t>
        </is>
      </c>
      <c r="C20" s="29" t="inlineStr">
        <is>
          <t>Gate 3</t>
        </is>
      </c>
      <c r="D20" s="29" t="inlineStr">
        <is>
          <t>A past decision can be reconstructed: lines added to an open PO later, or a PO held before sending.</t>
        </is>
      </c>
      <c r="E20" s="29" t="inlineStr">
        <is>
          <t>Look for POs whose lines have different entry dates.</t>
        </is>
      </c>
      <c r="F20" s="30" t="inlineStr">
        <is>
          <t>Not checked</t>
        </is>
      </c>
      <c r="G20" s="30" t="n"/>
      <c r="H20" s="30" t="n"/>
      <c r="I20" s="30" t="n"/>
      <c r="J20" s="31" t="n"/>
    </row>
    <row r="21" ht="15" customHeight="1" s="20">
      <c r="A21" s="29" t="inlineStr">
        <is>
          <t>MX4</t>
        </is>
      </c>
      <c r="B21" s="29" t="inlineStr">
        <is>
          <t>Maximalisatie</t>
        </is>
      </c>
      <c r="C21" s="29" t="inlineStr">
        <is>
          <t>Prototype feasibility</t>
        </is>
      </c>
      <c r="D21" s="29" t="inlineStr">
        <is>
          <t>Whether demand information also needs Orbis.</t>
        </is>
      </c>
      <c r="E21" s="29" t="inlineStr">
        <is>
          <t>Ask Arno or Dennis.</t>
        </is>
      </c>
      <c r="F21" s="30" t="inlineStr">
        <is>
          <t>Not checked</t>
        </is>
      </c>
      <c r="G21" s="30" t="n"/>
      <c r="H21" s="30" t="n"/>
      <c r="I21" s="30" t="n"/>
      <c r="J21" s="31" t="n"/>
    </row>
    <row r="22" ht="23.85" customHeight="1" s="20">
      <c r="A22" s="29" t="inlineStr">
        <is>
          <t>SR1</t>
        </is>
      </c>
      <c r="B22" s="29" t="inlineStr">
        <is>
          <t>Standard / review / manual</t>
        </is>
      </c>
      <c r="C22" s="29" t="inlineStr">
        <is>
          <t>Gate 3</t>
        </is>
      </c>
      <c r="D22" s="29" t="inlineStr">
        <is>
          <t>Past POs can be sorted into standard and exceptional from the record, for example changed, cancelled or re-approved after creation.</t>
        </is>
      </c>
      <c r="E22" s="29" t="inlineStr">
        <is>
          <t>For 20 POs, note any change, cancellation or re-approval.</t>
        </is>
      </c>
      <c r="F22" s="30" t="inlineStr">
        <is>
          <t>Partly</t>
        </is>
      </c>
      <c r="G22" s="30" t="inlineStr">
        <is>
          <t>Provisional: 10 of 21 sampled POs carry two or three PO PDFs (open 6 of 12, completed 4 of 9)</t>
        </is>
      </c>
      <c r="H22" s="30" t="inlineStr">
        <is>
          <t>Bestellingen list &gt; select the PO &gt; Bijlage window; status bar under the list; document numbers give the order of the attachments</t>
        </is>
      </c>
      <c r="I22" s="30" t="inlineStr">
        <is>
          <t>On the 3 completed POs with two PO PDFs and a confirmation, the second PO PDF and the confirmation have close document numbers (adjacent on 2, two apart on 1), and the approval date in the status bar is later than the order date. This suggests the PO was re-issued around the time the confirmation was filed. A later approval date also occurs on 2 completed POs without a confirmation next to a second PO PDF. Contents and reasons not yet compared. Cancellations not looked at.</t>
        </is>
      </c>
      <c r="J22" s="31" t="n">
        <v>46308</v>
      </c>
    </row>
    <row r="23" ht="15" customHeight="1" s="20">
      <c r="A23" s="29" t="inlineStr">
        <is>
          <t>SR2</t>
        </is>
      </c>
      <c r="B23" s="29" t="inlineStr">
        <is>
          <t>Standard / review / manual</t>
        </is>
      </c>
      <c r="C23" s="29" t="inlineStr">
        <is>
          <t>Data readiness</t>
        </is>
      </c>
      <c r="D23" s="29" t="inlineStr">
        <is>
          <t>A change history (audit trail) per PO is available.</t>
        </is>
      </c>
      <c r="E23" s="29" t="inlineStr">
        <is>
          <t>Same check as PC8.</t>
        </is>
      </c>
      <c r="F23" s="30" t="inlineStr">
        <is>
          <t>Not checked</t>
        </is>
      </c>
      <c r="G23" s="30" t="n"/>
      <c r="H23" s="30" t="n"/>
      <c r="I23" s="30" t="n"/>
      <c r="J23" s="31" t="n"/>
    </row>
    <row r="24" ht="23.85" customHeight="1" s="20">
      <c r="A24" s="29" t="inlineStr">
        <is>
          <t>RI1</t>
        </is>
      </c>
      <c r="B24" s="29" t="inlineStr">
        <is>
          <t>Request intake &amp; validation</t>
        </is>
      </c>
      <c r="C24" s="29" t="inlineStr">
        <is>
          <t>Gate 2</t>
        </is>
      </c>
      <c r="D24" s="29" t="inlineStr">
        <is>
          <t>Requests are stored in Exact (purchase requisitions), or only arrive by email, at the desk or by phone.</t>
        </is>
      </c>
      <c r="E24" s="29" t="inlineStr">
        <is>
          <t>Look for requisitions; ask Arno.</t>
        </is>
      </c>
      <c r="F24" s="30" t="inlineStr">
        <is>
          <t>Not checked</t>
        </is>
      </c>
      <c r="G24" s="30" t="n"/>
      <c r="H24" s="30" t="n"/>
      <c r="I24" s="30" t="n"/>
      <c r="J24" s="31" t="n"/>
    </row>
    <row r="25" ht="23.85" customHeight="1" s="20">
      <c r="A25" s="29" t="inlineStr">
        <is>
          <t>RI2</t>
        </is>
      </c>
      <c r="B25" s="29" t="inlineStr">
        <is>
          <t>Request intake &amp; validation</t>
        </is>
      </c>
      <c r="C25" s="29" t="inlineStr">
        <is>
          <t>Gate 2</t>
        </is>
      </c>
      <c r="D25" s="29" t="inlineStr">
        <is>
          <t>Drawings are attached to items or POs in Exact; if not, where they are kept.</t>
        </is>
      </c>
      <c r="E25" s="29" t="inlineStr">
        <is>
          <t>Check items similar to those in the drawing cases of 18 and 23 September.</t>
        </is>
      </c>
      <c r="F25" s="30" t="inlineStr">
        <is>
          <t>Not checked</t>
        </is>
      </c>
      <c r="G25" s="30" t="n"/>
      <c r="H25" s="30" t="n"/>
      <c r="I25" s="30" t="n"/>
      <c r="J25" s="31" t="n"/>
    </row>
    <row r="26" ht="15" customHeight="1" s="20">
      <c r="A26" s="29" t="inlineStr">
        <is>
          <t>RI3</t>
        </is>
      </c>
      <c r="B26" s="29" t="inlineStr">
        <is>
          <t>Request intake &amp; validation</t>
        </is>
      </c>
      <c r="C26" s="29" t="inlineStr">
        <is>
          <t>Gate 3</t>
        </is>
      </c>
      <c r="D26" s="29" t="inlineStr">
        <is>
          <t>A list exists of the drawings an item needs (bill of materials or item specification).</t>
        </is>
      </c>
      <c r="E26" s="29" t="inlineStr">
        <is>
          <t>Check an item that needs drawings.</t>
        </is>
      </c>
      <c r="F26" s="30" t="inlineStr">
        <is>
          <t>Not checked</t>
        </is>
      </c>
      <c r="G26" s="30" t="n"/>
      <c r="H26" s="30" t="n"/>
      <c r="I26" s="30" t="n"/>
      <c r="J26" s="31" t="n"/>
    </row>
    <row r="27" ht="15" customHeight="1" s="20">
      <c r="A27" s="29" t="inlineStr">
        <is>
          <t>RI4</t>
        </is>
      </c>
      <c r="B27" s="29" t="inlineStr">
        <is>
          <t>Request intake &amp; validation</t>
        </is>
      </c>
      <c r="C27" s="29" t="inlineStr">
        <is>
          <t>Data readiness</t>
        </is>
      </c>
      <c r="D27" s="29" t="inlineStr">
        <is>
          <t>Serial numbers or asset details for service orders are stored.</t>
        </is>
      </c>
      <c r="E27" s="29" t="inlineStr">
        <is>
          <t>Check a service order.</t>
        </is>
      </c>
      <c r="F27" s="30" t="inlineStr">
        <is>
          <t>Not checked</t>
        </is>
      </c>
      <c r="G27" s="30" t="n"/>
      <c r="H27" s="30" t="n"/>
      <c r="I27" s="30" t="n"/>
      <c r="J27" s="31" t="n"/>
    </row>
    <row r="28" ht="15" customHeight="1" s="20">
      <c r="A28" s="29" t="inlineStr">
        <is>
          <t>CM1</t>
        </is>
      </c>
      <c r="B28" s="29" t="inlineStr">
        <is>
          <t>PO supplier communication</t>
        </is>
      </c>
      <c r="C28" s="29" t="inlineStr">
        <is>
          <t>Gate 2 / 3</t>
        </is>
      </c>
      <c r="D28" s="29" t="inlineStr">
        <is>
          <t>Sent PO emails can be found (Exact log or Outlook).</t>
        </is>
      </c>
      <c r="E28" s="29" t="inlineStr">
        <is>
          <t>Check 5 POs.</t>
        </is>
      </c>
      <c r="F28" s="30" t="inlineStr">
        <is>
          <t>Not checked</t>
        </is>
      </c>
      <c r="G28" s="30" t="n"/>
      <c r="H28" s="30" t="n"/>
      <c r="I28" s="30" t="n"/>
      <c r="J28" s="31" t="n"/>
    </row>
    <row r="29" ht="15" customHeight="1" s="20">
      <c r="A29" s="29" t="inlineStr">
        <is>
          <t>CM2</t>
        </is>
      </c>
      <c r="B29" s="29" t="inlineStr">
        <is>
          <t>PO supplier communication</t>
        </is>
      </c>
      <c r="C29" s="29" t="inlineStr">
        <is>
          <t>Prototype feasibility</t>
        </is>
      </c>
      <c r="D29" s="29" t="inlineStr">
        <is>
          <t>Supplier email addresses are stored in the supplier record.</t>
        </is>
      </c>
      <c r="E29" s="29" t="inlineStr">
        <is>
          <t>Check 5 suppliers.</t>
        </is>
      </c>
      <c r="F29" s="30" t="inlineStr">
        <is>
          <t>Not checked</t>
        </is>
      </c>
      <c r="G29" s="30" t="n"/>
      <c r="H29" s="30" t="n"/>
      <c r="I29" s="30" t="n"/>
      <c r="J29" s="31" t="n"/>
    </row>
    <row r="30" ht="15" customHeight="1" s="20">
      <c r="A30" s="29" t="inlineStr">
        <is>
          <t>AR1</t>
        </is>
      </c>
      <c r="B30" s="29" t="inlineStr">
        <is>
          <t>Article / supplier data</t>
        </is>
      </c>
      <c r="C30" s="29" t="inlineStr">
        <is>
          <t>Gate 3</t>
        </is>
      </c>
      <c r="D30" s="29" t="inlineStr">
        <is>
          <t>Article records show which fields are filled and when the article was created.</t>
        </is>
      </c>
      <c r="E30" s="29" t="inlineStr">
        <is>
          <t>Open 5 recently created articles.</t>
        </is>
      </c>
      <c r="F30" s="30" t="inlineStr">
        <is>
          <t>Not checked</t>
        </is>
      </c>
      <c r="G30" s="30" t="n"/>
      <c r="H30" s="30" t="n"/>
      <c r="I30" s="30" t="n"/>
      <c r="J30" s="31" t="n"/>
    </row>
    <row r="31" ht="23.85" customHeight="1" s="20">
      <c r="A31" s="29" t="inlineStr">
        <is>
          <t>AR2</t>
        </is>
      </c>
      <c r="B31" s="29" t="inlineStr">
        <is>
          <t>Article / supplier data</t>
        </is>
      </c>
      <c r="C31" s="29" t="inlineStr">
        <is>
          <t>Gate 2</t>
        </is>
      </c>
      <c r="D31" s="29" t="inlineStr">
        <is>
          <t>The supplier documents used to create an article (datasheet, quotation) are linked to it.</t>
        </is>
      </c>
      <c r="E31" s="29" t="inlineStr">
        <is>
          <t>Same 5 articles.</t>
        </is>
      </c>
      <c r="F31" s="30" t="inlineStr">
        <is>
          <t>Not checked</t>
        </is>
      </c>
      <c r="G31" s="30" t="n"/>
      <c r="H31" s="30" t="n"/>
      <c r="I31" s="30" t="n"/>
      <c r="J31" s="31" t="n"/>
    </row>
    <row r="32" ht="15" customHeight="1" s="20">
      <c r="A32" s="29" t="inlineStr">
        <is>
          <t>AR3</t>
        </is>
      </c>
      <c r="B32" s="29" t="inlineStr">
        <is>
          <t>Article / supplier data</t>
        </is>
      </c>
      <c r="C32" s="29" t="inlineStr">
        <is>
          <t>Repetition</t>
        </is>
      </c>
      <c r="D32" s="29" t="inlineStr">
        <is>
          <t>Number of new articles per month.</t>
        </is>
      </c>
      <c r="E32" s="29" t="inlineStr">
        <is>
          <t>Filter articles by creation date.</t>
        </is>
      </c>
      <c r="F32" s="30" t="inlineStr">
        <is>
          <t>Not checked</t>
        </is>
      </c>
      <c r="G32" s="30" t="n"/>
      <c r="H32" s="30" t="n"/>
      <c r="I32" s="30" t="n"/>
      <c r="J32" s="31" t="n"/>
    </row>
  </sheetData>
  <dataValidations count="1">
    <dataValidation sqref="F2:F32" showDropDown="0" showInputMessage="0" showErrorMessage="0" allowBlank="0" error="Choose Yes, Partly, No or Not checked." type="list" errorStyle="stop" operator="between">
      <formula1>"Yes,Partly,No,Not checked"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J18"/>
  <sheetViews>
    <sheetView showFormulas="0" showGridLines="1"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5390625" defaultRowHeight="15" zeroHeight="0" outlineLevelRow="0"/>
  <cols>
    <col width="28" customWidth="1" style="19" min="1" max="1"/>
    <col width="11" customWidth="1" style="19" min="2" max="7"/>
    <col width="45" customWidth="1" style="19" min="8" max="8"/>
    <col width="10" customWidth="1" style="19" min="9" max="9"/>
    <col width="14" customWidth="1" style="19" min="10" max="10"/>
  </cols>
  <sheetData>
    <row r="1" ht="17.35" customHeight="1" s="20">
      <c r="A1" s="32" t="inlineStr">
        <is>
          <t>Stage A gates per candidate</t>
        </is>
      </c>
    </row>
    <row r="2" ht="30" customHeight="1" s="20">
      <c r="A2" s="22" t="inlineStr">
        <is>
          <t>Set each gate to Pass, Redesign, Reject or Open, and name the check IDs or other sources in 'Evidence'. A candidate enters Stage B only if no gate is Reject or Open; Redesign means it passes in a narrower form, described in 'Evidence'.</t>
        </is>
      </c>
    </row>
    <row r="4" ht="15" customHeight="1" s="20">
      <c r="A4" s="28" t="inlineStr">
        <is>
          <t>Candidate</t>
        </is>
      </c>
      <c r="B4" s="28" t="inlineStr">
        <is>
          <t>Gate 1</t>
        </is>
      </c>
      <c r="C4" s="28" t="inlineStr">
        <is>
          <t>Gate 2</t>
        </is>
      </c>
      <c r="D4" s="28" t="inlineStr">
        <is>
          <t>Gate 3</t>
        </is>
      </c>
      <c r="E4" s="28" t="inlineStr">
        <is>
          <t>Gate 4</t>
        </is>
      </c>
      <c r="F4" s="28" t="inlineStr">
        <is>
          <t>Gate 5</t>
        </is>
      </c>
      <c r="G4" s="28" t="inlineStr">
        <is>
          <t>Gate 6</t>
        </is>
      </c>
      <c r="H4" s="28" t="inlineStr">
        <is>
          <t>Evidence (check IDs, other sources)</t>
        </is>
      </c>
      <c r="I4" s="28" t="inlineStr">
        <is>
          <t>Open gates</t>
        </is>
      </c>
      <c r="J4" s="28" t="inlineStr">
        <is>
          <t>Stage A result</t>
        </is>
      </c>
    </row>
    <row r="5" ht="15" customHeight="1" s="20">
      <c r="A5" s="33" t="inlineStr">
        <is>
          <t>Purchase-price control</t>
        </is>
      </c>
      <c r="B5" s="34" t="inlineStr">
        <is>
          <t>Pass</t>
        </is>
      </c>
      <c r="C5" s="34" t="inlineStr">
        <is>
          <t>Open</t>
        </is>
      </c>
      <c r="D5" s="34" t="inlineStr">
        <is>
          <t>Open</t>
        </is>
      </c>
      <c r="E5" s="34" t="inlineStr">
        <is>
          <t>Open</t>
        </is>
      </c>
      <c r="F5" s="34" t="inlineStr">
        <is>
          <t>Open</t>
        </is>
      </c>
      <c r="G5" s="34" t="inlineStr">
        <is>
          <t>Open</t>
        </is>
      </c>
      <c r="H5" s="30" t="inlineStr">
        <is>
          <t>Gate 1: G1, G2. 13 October, provisional (candidate called order and confirmation checking since 7 October): confirmations stored on 10 of 21 sampled POs (PC2); no quotations seen on the 9 completed POs checked (PC3); a price route through invoices and PO versions seen (PC4, PC6). Gates 2 and 3 stay open.</t>
        </is>
      </c>
      <c r="I5" s="35">
        <f>COUNTIF(B5:G5,"Open")</f>
        <v/>
      </c>
      <c r="J5" s="36">
        <f>IF(COUNTIF(B5:G5,"Reject")&gt;0,"Reject",IF(COUNTIF(B5:G5,"Open")&gt;0,"Open",IF(COUNTIF(B5:G5,"Redesign")&gt;0,"Redesign","Pass")))</f>
        <v/>
      </c>
    </row>
    <row r="6" ht="15" customHeight="1" s="20">
      <c r="A6" s="33" t="inlineStr">
        <is>
          <t>Maximalisatie</t>
        </is>
      </c>
      <c r="B6" s="34" t="inlineStr">
        <is>
          <t>Open</t>
        </is>
      </c>
      <c r="C6" s="34" t="inlineStr">
        <is>
          <t>Open</t>
        </is>
      </c>
      <c r="D6" s="34" t="inlineStr">
        <is>
          <t>Open</t>
        </is>
      </c>
      <c r="E6" s="34" t="inlineStr">
        <is>
          <t>Open</t>
        </is>
      </c>
      <c r="F6" s="34" t="inlineStr">
        <is>
          <t>Open</t>
        </is>
      </c>
      <c r="G6" s="34" t="inlineStr">
        <is>
          <t>Open</t>
        </is>
      </c>
      <c r="H6" s="30" t="inlineStr">
        <is>
          <t>Gate 1: G1, G2 yes; MX4 (Orbis) open.</t>
        </is>
      </c>
      <c r="I6" s="35">
        <f>COUNTIF(B6:G6,"Open")</f>
        <v/>
      </c>
      <c r="J6" s="36">
        <f>IF(COUNTIF(B6:G6,"Reject")&gt;0,"Reject",IF(COUNTIF(B6:G6,"Open")&gt;0,"Open",IF(COUNTIF(B6:G6,"Redesign")&gt;0,"Redesign","Pass")))</f>
        <v/>
      </c>
    </row>
    <row r="7" ht="15" customHeight="1" s="20">
      <c r="A7" s="33" t="inlineStr">
        <is>
          <t>Standard / review / manual</t>
        </is>
      </c>
      <c r="B7" s="34" t="inlineStr">
        <is>
          <t>Pass</t>
        </is>
      </c>
      <c r="C7" s="34" t="inlineStr">
        <is>
          <t>Open</t>
        </is>
      </c>
      <c r="D7" s="34" t="inlineStr">
        <is>
          <t>Open</t>
        </is>
      </c>
      <c r="E7" s="34" t="inlineStr">
        <is>
          <t>Open</t>
        </is>
      </c>
      <c r="F7" s="34" t="inlineStr">
        <is>
          <t>Open</t>
        </is>
      </c>
      <c r="G7" s="34" t="inlineStr">
        <is>
          <t>Open</t>
        </is>
      </c>
      <c r="H7" s="30" t="inlineStr">
        <is>
          <t>Gate 1: G1, G2.</t>
        </is>
      </c>
      <c r="I7" s="35">
        <f>COUNTIF(B7:G7,"Open")</f>
        <v/>
      </c>
      <c r="J7" s="36">
        <f>IF(COUNTIF(B7:G7,"Reject")&gt;0,"Reject",IF(COUNTIF(B7:G7,"Open")&gt;0,"Open",IF(COUNTIF(B7:G7,"Redesign")&gt;0,"Redesign","Pass")))</f>
        <v/>
      </c>
    </row>
    <row r="8" ht="15" customHeight="1" s="20">
      <c r="A8" s="33" t="inlineStr">
        <is>
          <t>Request intake &amp; validation</t>
        </is>
      </c>
      <c r="B8" s="34" t="inlineStr">
        <is>
          <t>Open</t>
        </is>
      </c>
      <c r="C8" s="34" t="inlineStr">
        <is>
          <t>Open</t>
        </is>
      </c>
      <c r="D8" s="34" t="inlineStr">
        <is>
          <t>Open</t>
        </is>
      </c>
      <c r="E8" s="34" t="inlineStr">
        <is>
          <t>Open</t>
        </is>
      </c>
      <c r="F8" s="34" t="inlineStr">
        <is>
          <t>Open</t>
        </is>
      </c>
      <c r="G8" s="34" t="inlineStr">
        <is>
          <t>Open</t>
        </is>
      </c>
      <c r="H8" s="30" t="inlineStr">
        <is>
          <t>Gate 1: G1, G2 yes; RI2 (drawing archive) open.</t>
        </is>
      </c>
      <c r="I8" s="35">
        <f>COUNTIF(B8:G8,"Open")</f>
        <v/>
      </c>
      <c r="J8" s="36">
        <f>IF(COUNTIF(B8:G8,"Reject")&gt;0,"Reject",IF(COUNTIF(B8:G8,"Open")&gt;0,"Open",IF(COUNTIF(B8:G8,"Redesign")&gt;0,"Redesign","Pass")))</f>
        <v/>
      </c>
    </row>
    <row r="9" ht="15" customHeight="1" s="20">
      <c r="A9" s="33" t="inlineStr">
        <is>
          <t>PO supplier communication</t>
        </is>
      </c>
      <c r="B9" s="34" t="inlineStr">
        <is>
          <t>Pass</t>
        </is>
      </c>
      <c r="C9" s="34" t="inlineStr">
        <is>
          <t>Open</t>
        </is>
      </c>
      <c r="D9" s="34" t="inlineStr">
        <is>
          <t>Open</t>
        </is>
      </c>
      <c r="E9" s="34" t="inlineStr">
        <is>
          <t>Open</t>
        </is>
      </c>
      <c r="F9" s="34" t="inlineStr">
        <is>
          <t>Open</t>
        </is>
      </c>
      <c r="G9" s="34" t="inlineStr">
        <is>
          <t>Open</t>
        </is>
      </c>
      <c r="H9" s="30" t="inlineStr">
        <is>
          <t>Gate 1: G1, G2.</t>
        </is>
      </c>
      <c r="I9" s="35">
        <f>COUNTIF(B9:G9,"Open")</f>
        <v/>
      </c>
      <c r="J9" s="36">
        <f>IF(COUNTIF(B9:G9,"Reject")&gt;0,"Reject",IF(COUNTIF(B9:G9,"Open")&gt;0,"Open",IF(COUNTIF(B9:G9,"Redesign")&gt;0,"Redesign","Pass")))</f>
        <v/>
      </c>
    </row>
    <row r="10" ht="15" customHeight="1" s="20">
      <c r="A10" s="33" t="inlineStr">
        <is>
          <t>Article / supplier data</t>
        </is>
      </c>
      <c r="B10" s="34" t="inlineStr">
        <is>
          <t>Pass</t>
        </is>
      </c>
      <c r="C10" s="34" t="inlineStr">
        <is>
          <t>Open</t>
        </is>
      </c>
      <c r="D10" s="34" t="inlineStr">
        <is>
          <t>Open</t>
        </is>
      </c>
      <c r="E10" s="34" t="inlineStr">
        <is>
          <t>Open</t>
        </is>
      </c>
      <c r="F10" s="34" t="inlineStr">
        <is>
          <t>Open</t>
        </is>
      </c>
      <c r="G10" s="34" t="inlineStr">
        <is>
          <t>Open</t>
        </is>
      </c>
      <c r="H10" s="30" t="inlineStr">
        <is>
          <t>Gate 1: G1, G2.</t>
        </is>
      </c>
      <c r="I10" s="35">
        <f>COUNTIF(B10:G10,"Open")</f>
        <v/>
      </c>
      <c r="J10" s="36">
        <f>IF(COUNTIF(B10:G10,"Reject")&gt;0,"Reject",IF(COUNTIF(B10:G10,"Open")&gt;0,"Open",IF(COUNTIF(B10:G10,"Redesign")&gt;0,"Redesign","Pass")))</f>
        <v/>
      </c>
    </row>
    <row r="12" ht="15" customHeight="1" s="20">
      <c r="A12" s="25" t="inlineStr">
        <is>
          <t>Where the evidence for each gate comes from</t>
        </is>
      </c>
    </row>
    <row r="13" ht="15" customHeight="1" s="20">
      <c r="A13" s="24" t="inlineStr">
        <is>
          <t>Gate 1</t>
        </is>
      </c>
      <c r="B13" s="24" t="inlineStr">
        <is>
          <t>Checks G1–G2 (Johan), plus MX4 for maximalisatie and RI2 for request intake. G3 sets how results are anonymised, not whether the data may be used.</t>
        </is>
      </c>
    </row>
    <row r="14" ht="15" customHeight="1" s="20">
      <c r="A14" s="24" t="inlineStr">
        <is>
          <t>Gate 2</t>
        </is>
      </c>
      <c r="B14" s="24" t="inlineStr">
        <is>
          <t>Checks G4, G5, G7 and each candidate's 'Gate 2' rows.</t>
        </is>
      </c>
    </row>
    <row r="15" ht="15" customHeight="1" s="20">
      <c r="A15" s="24" t="inlineStr">
        <is>
          <t>Gate 3</t>
        </is>
      </c>
      <c r="B15" s="24" t="inlineStr">
        <is>
          <t>Each candidate's 'Gate 3' rows; for price control PC4 and PC6.</t>
        </is>
      </c>
    </row>
    <row r="16" ht="15" customHeight="1" s="20">
      <c r="A16" s="24" t="inlineStr">
        <is>
          <t>Gate 4</t>
        </is>
      </c>
      <c r="B16" s="24" t="inlineStr">
        <is>
          <t>PC8 and SR2 (change history), plus Arno's answers on what he must check himself (session guide, part D).</t>
        </is>
      </c>
    </row>
    <row r="17" ht="15" customHeight="1" s="20">
      <c r="A17" s="24" t="inlineStr">
        <is>
          <t>Gate 5</t>
        </is>
      </c>
      <c r="B17" s="24" t="inlineStr">
        <is>
          <t>The BEP planning and the prototype checks (G6, MX4, CM2).</t>
        </is>
      </c>
    </row>
    <row r="18" ht="15" customHeight="1" s="20">
      <c r="A18" s="24" t="inlineStr">
        <is>
          <t>Gate 6</t>
        </is>
      </c>
      <c r="B18" s="24" t="inlineStr">
        <is>
          <t>The AI function table and Arno's acceptance answers (session guide, part D).</t>
        </is>
      </c>
    </row>
  </sheetData>
  <mergeCells count="7">
    <mergeCell ref="B15:J15"/>
    <mergeCell ref="B14:J14"/>
    <mergeCell ref="B17:J17"/>
    <mergeCell ref="B18:J18"/>
    <mergeCell ref="A2:J2"/>
    <mergeCell ref="B13:J13"/>
    <mergeCell ref="B16:J16"/>
  </mergeCells>
  <dataValidations count="1">
    <dataValidation sqref="B5:G10" showDropDown="0" showInputMessage="0" showErrorMessage="0" allowBlank="0" error="Choose Pass, Redesign, Reject or Open." type="list" errorStyle="stop" operator="between">
      <formula1>"Pass,Redesign,Reject,Open"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2026-10-07T08:50:58Z</dcterms:created>
  <dcterms:modified xmlns:dcterms="http://purl.org/dc/terms/" xmlns:xsi="http://www.w3.org/2001/XMLSchema-instance" xsi:type="dcterms:W3CDTF">2026-10-13T12:49:20Z</dcterms:modified>
  <cp:revision>0</cp:revision>
</cp:coreProperties>
</file>