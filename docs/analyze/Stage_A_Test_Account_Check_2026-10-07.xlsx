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Checks" sheetId="2" state="visible" r:id="rId4"/>
    <sheet name="Gate 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Arial"/>
            <family val="2"/>
          </rPr>
          <t xml:space="preserve">Yes: found for every case checked. Partly: for some cases; give the count. No: not found. Not checked: still to do.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Required data and tooling are permitted for the intended research use.</t>
        </r>
      </text>
    </comment>
    <comment ref="C4" authorId="0">
      <text>
        <r>
          <rPr>
            <sz val="10"/>
            <rFont val="Arial"/>
            <family val="2"/>
          </rPr>
          <t xml:space="preserve">Accessible data are sufficiently representative for a prototype and test.</t>
        </r>
      </text>
    </comment>
    <comment ref="D4" authorId="0">
      <text>
        <r>
          <rPr>
            <sz val="10"/>
            <rFont val="Arial"/>
            <family val="2"/>
          </rPr>
          <t xml:space="preserve">A reproducible reference standard and manual baseline can be created.</t>
        </r>
      </text>
    </comment>
    <comment ref="E4" authorId="0">
      <text>
        <r>
          <rPr>
            <sz val="10"/>
            <rFont val="Arial"/>
            <family val="2"/>
          </rPr>
          <t xml:space="preserve">Critical errors are detectable or reversible; residual risk is controlled by human review, an audit trail and fallback.</t>
        </r>
      </text>
    </comment>
    <comment ref="F4" authorId="0">
      <text>
        <r>
          <rPr>
            <sz val="10"/>
            <rFont val="Arial"/>
            <family val="2"/>
          </rPr>
          <t xml:space="preserve">Prototype development and evaluation fit the BEP's time, access and participant constraints.</t>
        </r>
      </text>
    </comment>
    <comment ref="G4" authorId="0">
      <text>
        <r>
          <rPr>
            <sz val="10"/>
            <rFont val="Arial"/>
            <family val="2"/>
          </rPr>
          <t xml:space="preserve">Non-trivial AI fit: AI support creates value beyond a simpler deterministic rule.</t>
        </r>
      </text>
    </comment>
  </commentList>
</comments>
</file>

<file path=xl/sharedStrings.xml><?xml version="1.0" encoding="utf-8"?>
<sst xmlns="http://schemas.openxmlformats.org/spreadsheetml/2006/main" count="293" uniqueCount="161">
  <si>
    <t xml:space="preserve">Stage A worksheet: Exact test-account check</t>
  </si>
  <si>
    <t xml:space="preserve">Prepared 7 October 2026 for the Stage A veto gates (methodology §5.3). Fill in during the check of the Exact test account.</t>
  </si>
  <si>
    <t xml:space="preserve">Purpose</t>
  </si>
  <si>
    <t xml:space="preserve">The check settles gates 1–3 for each candidate and fills the data-readiness, prototype and evaluation cells of the evidence matrix (docs/analyze/Candidate_Evidence_Matrix_2026-10-07.md). It does not score any candidate.</t>
  </si>
  <si>
    <t xml:space="preserve">How to fill it in</t>
  </si>
  <si>
    <t xml:space="preserve">1. Start with G1–G3 on the 'Checks' sheet: they need Johan's answer and decide what you may do with the data.</t>
  </si>
  <si>
    <t xml:space="preserve">2. Then G4–G8 for the account as a whole, then the rows per candidate.</t>
  </si>
  <si>
    <t xml:space="preserve">3. Only the yellow cells are for you: 'Found' (choose from the list), 'Count or period', 'Where in Exact', 'Notes' and 'Checked on'.</t>
  </si>
  <si>
    <t xml:space="preserve">4. Record what you see, not what you expect. 'Partly' means some records exist but not for every case; say how many in 'Count or period'.</t>
  </si>
  <si>
    <t xml:space="preserve">5. When the checks for a candidate are done, set its gates on the 'Gate summary' sheet. Gates 4–6 also need the Arno session and the AI function table.</t>
  </si>
  <si>
    <t xml:space="preserve">Confidentiality</t>
  </si>
  <si>
    <t xml:space="preserve">This file is stored in the GitHub repository. Record counts, periods, yes or no and where things are; do not paste supplier names, prices, people or document contents into it.</t>
  </si>
  <si>
    <t xml:space="preserve">Background</t>
  </si>
  <si>
    <t xml:space="preserve">Johan permits using data in the Exact test account (reported by Yijie on 2 October). The account holds past cases from an earlier period and is not up to date, which matters for gate 2.</t>
  </si>
  <si>
    <t xml:space="preserve">Progress</t>
  </si>
  <si>
    <t xml:space="preserve">Items checked (any answer other than 'Not checked')</t>
  </si>
  <si>
    <t xml:space="preserve">Items in total</t>
  </si>
  <si>
    <t xml:space="preserve">Example row (invented, not a real result), showing the expected format:</t>
  </si>
  <si>
    <t xml:space="preserve">ID</t>
  </si>
  <si>
    <t xml:space="preserve">Found</t>
  </si>
  <si>
    <t xml:space="preserve">Count or period</t>
  </si>
  <si>
    <t xml:space="preserve">Where in Exact</t>
  </si>
  <si>
    <t xml:space="preserve">Notes</t>
  </si>
  <si>
    <t xml:space="preserve">Checked on</t>
  </si>
  <si>
    <t xml:space="preserve">PC2</t>
  </si>
  <si>
    <t xml:space="preserve">Partly</t>
  </si>
  <si>
    <t xml:space="preserve">12 of 20 POs (March)</t>
  </si>
  <si>
    <t xml:space="preserve">Documents tab of the purchase order</t>
  </si>
  <si>
    <t xml:space="preserve">PDF confirmations; the others seem to stay in Outlook</t>
  </si>
  <si>
    <t xml:space="preserve">2026-10-09</t>
  </si>
  <si>
    <t xml:space="preserve">Candidate</t>
  </si>
  <si>
    <t xml:space="preserve">Gate or criterion</t>
  </si>
  <si>
    <t xml:space="preserve">What to find out</t>
  </si>
  <si>
    <t xml:space="preserve">How to check</t>
  </si>
  <si>
    <t xml:space="preserve">Notes (no confidential content)</t>
  </si>
  <si>
    <t xml:space="preserve">G1</t>
  </si>
  <si>
    <t xml:space="preserve">All candidates</t>
  </si>
  <si>
    <t xml:space="preserve">Gate 1</t>
  </si>
  <si>
    <t xml:space="preserve">Johan's permission in writing: test-account data may be used for the analysis, a prototype, testing with the buyers, and the thesis (anonymised).</t>
  </si>
  <si>
    <t xml:space="preserve">Ask Johan by email and keep the reply.</t>
  </si>
  <si>
    <t xml:space="preserve">Not checked</t>
  </si>
  <si>
    <t xml:space="preserve">G2</t>
  </si>
  <si>
    <t xml:space="preserve">Whether test-account documents may be processed by an external AI service (cloud), or only by tools that run locally.</t>
  </si>
  <si>
    <t xml:space="preserve">Ask Johan, and IT if needed.</t>
  </si>
  <si>
    <t xml:space="preserve">G3</t>
  </si>
  <si>
    <t xml:space="preserve">What must be anonymised in the thesis: supplier names, prices, people.</t>
  </si>
  <si>
    <t xml:space="preserve">Ask Johan.</t>
  </si>
  <si>
    <t xml:space="preserve">G4</t>
  </si>
  <si>
    <t xml:space="preserve">Gate 2</t>
  </si>
  <si>
    <t xml:space="preserve">The period the test account covers (first and last order date) and when it was copied.</t>
  </si>
  <si>
    <t xml:space="preserve">Sort the purchase orders by date.</t>
  </si>
  <si>
    <t xml:space="preserve">G5</t>
  </si>
  <si>
    <t xml:space="preserve">What has changed since that period: Exact version, price policy, approval limit, main suppliers.</t>
  </si>
  <si>
    <t xml:space="preserve">Ask Arno or Dennis.</t>
  </si>
  <si>
    <t xml:space="preserve">G6</t>
  </si>
  <si>
    <t xml:space="preserve">Prototype feasibility</t>
  </si>
  <si>
    <t xml:space="preserve">Whether lists can be exported to Excel or CSV, and whether your access is read-only.</t>
  </si>
  <si>
    <t xml:space="preserve">Try exporting the purchase-order list.</t>
  </si>
  <si>
    <t xml:space="preserve">G7</t>
  </si>
  <si>
    <t xml:space="preserve">Which parts hold data: purchase orders and lines, receipts, invoices, items, suppliers, attached documents, MRP advice (Advies).</t>
  </si>
  <si>
    <t xml:space="preserve">Open each part and note whether it holds records.</t>
  </si>
  <si>
    <t xml:space="preserve">G8</t>
  </si>
  <si>
    <t xml:space="preserve">Repetition</t>
  </si>
  <si>
    <t xml:space="preserve">Number of purchase orders and order lines per month, for the last full months in the account.</t>
  </si>
  <si>
    <t xml:space="preserve">Count from an export.</t>
  </si>
  <si>
    <t xml:space="preserve">PC1</t>
  </si>
  <si>
    <t xml:space="preserve">Purchase-price control</t>
  </si>
  <si>
    <t xml:space="preserve">Gate 2 / data readiness</t>
  </si>
  <si>
    <t xml:space="preserve">PO lines with item, quantity, unit price and date can be exported.</t>
  </si>
  <si>
    <t xml:space="preserve">Export the order lines of one month.</t>
  </si>
  <si>
    <t xml:space="preserve">Supplier confirmations are stored with their PO (attached PDF, email or scan).</t>
  </si>
  <si>
    <t xml:space="preserve">Take 20 POs from one month; count how many have a confirmation attached.</t>
  </si>
  <si>
    <t xml:space="preserve">PC3</t>
  </si>
  <si>
    <t xml:space="preserve">Quotations are stored with the PO or the item.</t>
  </si>
  <si>
    <t xml:space="preserve">Same 20 POs: count those with a quotation.</t>
  </si>
  <si>
    <t xml:space="preserve">PC4</t>
  </si>
  <si>
    <t xml:space="preserve">Gate 3 / evaluation</t>
  </si>
  <si>
    <t xml:space="preserve">The correct price per line can be traced: confirmed price, corrected PO price or invoice price.</t>
  </si>
  <si>
    <t xml:space="preserve">For the POs with a confirmation, compare the PO price with the confirmation and the invoice.</t>
  </si>
  <si>
    <t xml:space="preserve">PC5</t>
  </si>
  <si>
    <t xml:space="preserve">Gate 3 / business value</t>
  </si>
  <si>
    <t xml:space="preserve">The stored item price in Exact and when it was last changed.</t>
  </si>
  <si>
    <t xml:space="preserve">Open 10 frequently ordered items; note the date of the last price change.</t>
  </si>
  <si>
    <t xml:space="preserve">PC6</t>
  </si>
  <si>
    <t xml:space="preserve">Evaluation feasibility</t>
  </si>
  <si>
    <t xml:space="preserve">Past cases with a known difference between PO price and confirmation or invoice.</t>
  </si>
  <si>
    <t xml:space="preserve">Count the differences found in PC4.</t>
  </si>
  <si>
    <t xml:space="preserve">PC7</t>
  </si>
  <si>
    <t xml:space="preserve">How many lines POs have: 1, 2–5, 6–20, more than 20 (for test workloads, Zhongxin's fallback of 1 October).</t>
  </si>
  <si>
    <t xml:space="preserve">Count from the export of PC1.</t>
  </si>
  <si>
    <t xml:space="preserve">PC8</t>
  </si>
  <si>
    <t xml:space="preserve">Gate 4</t>
  </si>
  <si>
    <t xml:space="preserve">Changes to a PO price are logged (who, when), so a mistake can be found and undone.</t>
  </si>
  <si>
    <t xml:space="preserve">Look for a change history on a PO.</t>
  </si>
  <si>
    <t xml:space="preserve">MX1</t>
  </si>
  <si>
    <t xml:space="preserve">Maximalisatie</t>
  </si>
  <si>
    <t xml:space="preserve">MRP advice (Advies) with dates is available.</t>
  </si>
  <si>
    <t xml:space="preserve">Open the advice list; note the dates it covers.</t>
  </si>
  <si>
    <t xml:space="preserve">MX2</t>
  </si>
  <si>
    <t xml:space="preserve">Stock levels, open POs and lead times per item are available.</t>
  </si>
  <si>
    <t xml:space="preserve">Check 5 items.</t>
  </si>
  <si>
    <t xml:space="preserve">MX3</t>
  </si>
  <si>
    <t xml:space="preserve">Gate 3</t>
  </si>
  <si>
    <t xml:space="preserve">A past decision can be reconstructed: lines added to an open PO later, or a PO held before sending.</t>
  </si>
  <si>
    <t xml:space="preserve">Look for POs whose lines have different entry dates.</t>
  </si>
  <si>
    <t xml:space="preserve">MX4</t>
  </si>
  <si>
    <t xml:space="preserve">Whether demand information also needs Orbis.</t>
  </si>
  <si>
    <t xml:space="preserve">SR1</t>
  </si>
  <si>
    <t xml:space="preserve">Standard / review / manual</t>
  </si>
  <si>
    <t xml:space="preserve">Past POs can be sorted into standard and exceptional from the record, for example changed, cancelled or re-approved after creation.</t>
  </si>
  <si>
    <t xml:space="preserve">For 20 POs, note any change, cancellation or re-approval.</t>
  </si>
  <si>
    <t xml:space="preserve">SR2</t>
  </si>
  <si>
    <t xml:space="preserve">Data readiness</t>
  </si>
  <si>
    <t xml:space="preserve">A change history (audit trail) per PO is available.</t>
  </si>
  <si>
    <t xml:space="preserve">Same check as PC8.</t>
  </si>
  <si>
    <t xml:space="preserve">RI1</t>
  </si>
  <si>
    <t xml:space="preserve">Request intake &amp; validation</t>
  </si>
  <si>
    <t xml:space="preserve">Requests are stored in Exact (purchase requisitions), or only arrive by email, at the desk or by phone.</t>
  </si>
  <si>
    <t xml:space="preserve">Look for requisitions; ask Arno.</t>
  </si>
  <si>
    <t xml:space="preserve">RI2</t>
  </si>
  <si>
    <t xml:space="preserve">Drawings are attached to items or POs in Exact; if not, where they are kept.</t>
  </si>
  <si>
    <t xml:space="preserve">Check items similar to those in the drawing cases of 18 and 23 September.</t>
  </si>
  <si>
    <t xml:space="preserve">RI3</t>
  </si>
  <si>
    <t xml:space="preserve">A list exists of the drawings an item needs (bill of materials or item specification).</t>
  </si>
  <si>
    <t xml:space="preserve">Check an item that needs drawings.</t>
  </si>
  <si>
    <t xml:space="preserve">RI4</t>
  </si>
  <si>
    <t xml:space="preserve">Serial numbers or asset details for service orders are stored.</t>
  </si>
  <si>
    <t xml:space="preserve">Check a service order.</t>
  </si>
  <si>
    <t xml:space="preserve">CM1</t>
  </si>
  <si>
    <t xml:space="preserve">PO supplier communication</t>
  </si>
  <si>
    <t xml:space="preserve">Gate 2 / 3</t>
  </si>
  <si>
    <t xml:space="preserve">Sent PO emails can be found (Exact log or Outlook).</t>
  </si>
  <si>
    <t xml:space="preserve">Check 5 POs.</t>
  </si>
  <si>
    <t xml:space="preserve">CM2</t>
  </si>
  <si>
    <t xml:space="preserve">Supplier email addresses are stored in the supplier record.</t>
  </si>
  <si>
    <t xml:space="preserve">Check 5 suppliers.</t>
  </si>
  <si>
    <t xml:space="preserve">AR1</t>
  </si>
  <si>
    <t xml:space="preserve">Article / supplier data</t>
  </si>
  <si>
    <t xml:space="preserve">Article records show which fields are filled and when the article was created.</t>
  </si>
  <si>
    <t xml:space="preserve">Open 5 recently created articles.</t>
  </si>
  <si>
    <t xml:space="preserve">AR2</t>
  </si>
  <si>
    <t xml:space="preserve">The supplier documents used to create an article (datasheet, quotation) are linked to it.</t>
  </si>
  <si>
    <t xml:space="preserve">Same 5 articles.</t>
  </si>
  <si>
    <t xml:space="preserve">AR3</t>
  </si>
  <si>
    <t xml:space="preserve">Number of new articles per month.</t>
  </si>
  <si>
    <t xml:space="preserve">Filter articles by creation date.</t>
  </si>
  <si>
    <t xml:space="preserve">Stage A gates per candidate</t>
  </si>
  <si>
    <t xml:space="preserve">Set each gate to Pass, Redesign, Reject or Open, and name the check IDs or other sources in 'Evidence'. A candidate enters Stage B only if no gate is Reject or Open; Redesign means it passes in a narrower form, described in 'Evidence'.</t>
  </si>
  <si>
    <t xml:space="preserve">Gate 5</t>
  </si>
  <si>
    <t xml:space="preserve">Gate 6</t>
  </si>
  <si>
    <t xml:space="preserve">Evidence (check IDs, other sources)</t>
  </si>
  <si>
    <t xml:space="preserve">Open gates</t>
  </si>
  <si>
    <t xml:space="preserve">Stage A result</t>
  </si>
  <si>
    <t xml:space="preserve">Open</t>
  </si>
  <si>
    <t xml:space="preserve">Where the evidence for each gate comes from</t>
  </si>
  <si>
    <t xml:space="preserve">Checks G1–G3 (Johan).</t>
  </si>
  <si>
    <t xml:space="preserve">Checks G4, G5, G7 and each candidate's 'Gate 2' rows.</t>
  </si>
  <si>
    <t xml:space="preserve">Each candidate's 'Gate 3' rows; for price control PC4 and PC6.</t>
  </si>
  <si>
    <t xml:space="preserve">PC8 and SR2 (change history), plus Arno's answers on what he must check himself (session guide, part D).</t>
  </si>
  <si>
    <t xml:space="preserve">The BEP planning and the prototype checks (G6, MX4, CM2).</t>
  </si>
  <si>
    <t xml:space="preserve">The AI function table and Arno's acceptance answers (session guide, part D).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</si>
</sst>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DE7F0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DA"/>
      </left>
      <right style="thin">
        <color rgb="FFC9D1DA"/>
      </right>
      <top style="thin">
        <color rgb="FFC9D1DA"/>
      </top>
      <bottom style="thin">
        <color rgb="FFC9D1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7F0"/>
      <rgbColor rgb="FF660066"/>
      <rgbColor rgb="FFFF8080"/>
      <rgbColor rgb="FF0066CC"/>
      <rgbColor rgb="FFC9D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6" min="2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12</v>
      </c>
    </row>
    <row r="18" customFormat="false" ht="23.8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14</v>
      </c>
    </row>
    <row r="21" customFormat="false" ht="15" hidden="false" customHeight="false" outlineLevel="0" collapsed="false">
      <c r="A21" s="4" t="s">
        <v>15</v>
      </c>
      <c r="B21" s="4" t="n">
        <f aca="false">COUNTIFS(Checks!F2:F32,"&lt;&gt;Not checked",Checks!F2:F32,"&lt;&gt;")</f>
        <v>0</v>
      </c>
    </row>
    <row r="22" customFormat="false" ht="15" hidden="false" customHeight="false" outlineLevel="0" collapsed="false">
      <c r="A22" s="4" t="s">
        <v>16</v>
      </c>
      <c r="B22" s="4" t="n">
        <f aca="false">COUNTA(Checks!A2:A32)</f>
        <v>31</v>
      </c>
    </row>
    <row r="24" customFormat="false" ht="15" hidden="false" customHeight="false" outlineLevel="0" collapsed="false">
      <c r="A24" s="5" t="s">
        <v>17</v>
      </c>
    </row>
    <row r="25" customFormat="false" ht="15" hidden="false" customHeight="false" outlineLevel="0" collapsed="false">
      <c r="A25" s="6" t="s">
        <v>18</v>
      </c>
      <c r="B25" s="6" t="s">
        <v>19</v>
      </c>
      <c r="C25" s="6" t="s">
        <v>20</v>
      </c>
      <c r="D25" s="6" t="s">
        <v>21</v>
      </c>
      <c r="E25" s="6" t="s">
        <v>22</v>
      </c>
      <c r="F25" s="6" t="s">
        <v>23</v>
      </c>
    </row>
    <row r="26" customFormat="false" ht="15" hidden="false" customHeight="false" outlineLevel="0" collapsed="false">
      <c r="A26" s="7" t="s">
        <v>24</v>
      </c>
      <c r="B26" s="7" t="s">
        <v>25</v>
      </c>
      <c r="C26" s="7" t="s">
        <v>26</v>
      </c>
      <c r="D26" s="7" t="s">
        <v>27</v>
      </c>
      <c r="E26" s="7" t="s">
        <v>28</v>
      </c>
      <c r="F26" s="7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55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8" min="8" style="0" width="24"/>
    <col collapsed="false" customWidth="true" hidden="false" outlineLevel="0" max="9" min="9" style="0" width="40"/>
    <col collapsed="false" customWidth="true" hidden="false" outlineLevel="0" max="10" min="10" style="0" width="12"/>
  </cols>
  <sheetData>
    <row r="1" customFormat="false" ht="15" hidden="false" customHeight="false" outlineLevel="0" collapsed="false">
      <c r="A1" s="8" t="s">
        <v>18</v>
      </c>
      <c r="B1" s="8" t="s">
        <v>30</v>
      </c>
      <c r="C1" s="8" t="s">
        <v>31</v>
      </c>
      <c r="D1" s="8" t="s">
        <v>32</v>
      </c>
      <c r="E1" s="8" t="s">
        <v>33</v>
      </c>
      <c r="F1" s="8" t="s">
        <v>19</v>
      </c>
      <c r="G1" s="8" t="s">
        <v>20</v>
      </c>
      <c r="H1" s="8" t="s">
        <v>21</v>
      </c>
      <c r="I1" s="8" t="s">
        <v>34</v>
      </c>
      <c r="J1" s="8" t="s">
        <v>23</v>
      </c>
    </row>
    <row r="2" customFormat="false" ht="23.85" hidden="false" customHeight="false" outlineLevel="0" collapsed="false">
      <c r="A2" s="9" t="s">
        <v>35</v>
      </c>
      <c r="B2" s="9" t="s">
        <v>36</v>
      </c>
      <c r="C2" s="9" t="s">
        <v>37</v>
      </c>
      <c r="D2" s="9" t="s">
        <v>38</v>
      </c>
      <c r="E2" s="9" t="s">
        <v>39</v>
      </c>
      <c r="F2" s="10" t="s">
        <v>40</v>
      </c>
      <c r="G2" s="10"/>
      <c r="H2" s="10"/>
      <c r="I2" s="10"/>
      <c r="J2" s="11"/>
    </row>
    <row r="3" customFormat="false" ht="23.85" hidden="false" customHeight="false" outlineLevel="0" collapsed="false">
      <c r="A3" s="9" t="s">
        <v>41</v>
      </c>
      <c r="B3" s="9" t="s">
        <v>36</v>
      </c>
      <c r="C3" s="9" t="s">
        <v>37</v>
      </c>
      <c r="D3" s="9" t="s">
        <v>42</v>
      </c>
      <c r="E3" s="9" t="s">
        <v>43</v>
      </c>
      <c r="F3" s="10" t="s">
        <v>40</v>
      </c>
      <c r="G3" s="10"/>
      <c r="H3" s="10"/>
      <c r="I3" s="10"/>
      <c r="J3" s="11"/>
    </row>
    <row r="4" customFormat="false" ht="15" hidden="false" customHeight="false" outlineLevel="0" collapsed="false">
      <c r="A4" s="9" t="s">
        <v>44</v>
      </c>
      <c r="B4" s="9" t="s">
        <v>36</v>
      </c>
      <c r="C4" s="9" t="s">
        <v>37</v>
      </c>
      <c r="D4" s="9" t="s">
        <v>45</v>
      </c>
      <c r="E4" s="9" t="s">
        <v>46</v>
      </c>
      <c r="F4" s="10" t="s">
        <v>40</v>
      </c>
      <c r="G4" s="10"/>
      <c r="H4" s="10"/>
      <c r="I4" s="10"/>
      <c r="J4" s="11"/>
    </row>
    <row r="5" customFormat="false" ht="15" hidden="false" customHeight="false" outlineLevel="0" collapsed="false">
      <c r="A5" s="9" t="s">
        <v>47</v>
      </c>
      <c r="B5" s="9" t="s">
        <v>36</v>
      </c>
      <c r="C5" s="9" t="s">
        <v>48</v>
      </c>
      <c r="D5" s="9" t="s">
        <v>49</v>
      </c>
      <c r="E5" s="9" t="s">
        <v>50</v>
      </c>
      <c r="F5" s="10" t="s">
        <v>40</v>
      </c>
      <c r="G5" s="10"/>
      <c r="H5" s="10"/>
      <c r="I5" s="10"/>
      <c r="J5" s="11"/>
    </row>
    <row r="6" customFormat="false" ht="23.85" hidden="false" customHeight="false" outlineLevel="0" collapsed="false">
      <c r="A6" s="9" t="s">
        <v>51</v>
      </c>
      <c r="B6" s="9" t="s">
        <v>36</v>
      </c>
      <c r="C6" s="9" t="s">
        <v>48</v>
      </c>
      <c r="D6" s="9" t="s">
        <v>52</v>
      </c>
      <c r="E6" s="9" t="s">
        <v>53</v>
      </c>
      <c r="F6" s="10" t="s">
        <v>40</v>
      </c>
      <c r="G6" s="10"/>
      <c r="H6" s="10"/>
      <c r="I6" s="10"/>
      <c r="J6" s="11"/>
    </row>
    <row r="7" customFormat="false" ht="15" hidden="false" customHeight="false" outlineLevel="0" collapsed="false">
      <c r="A7" s="9" t="s">
        <v>54</v>
      </c>
      <c r="B7" s="9" t="s">
        <v>36</v>
      </c>
      <c r="C7" s="9" t="s">
        <v>55</v>
      </c>
      <c r="D7" s="9" t="s">
        <v>56</v>
      </c>
      <c r="E7" s="9" t="s">
        <v>57</v>
      </c>
      <c r="F7" s="10" t="s">
        <v>40</v>
      </c>
      <c r="G7" s="10"/>
      <c r="H7" s="10"/>
      <c r="I7" s="10"/>
      <c r="J7" s="11"/>
    </row>
    <row r="8" customFormat="false" ht="23.85" hidden="false" customHeight="false" outlineLevel="0" collapsed="false">
      <c r="A8" s="9" t="s">
        <v>58</v>
      </c>
      <c r="B8" s="9" t="s">
        <v>36</v>
      </c>
      <c r="C8" s="9" t="s">
        <v>48</v>
      </c>
      <c r="D8" s="9" t="s">
        <v>59</v>
      </c>
      <c r="E8" s="9" t="s">
        <v>60</v>
      </c>
      <c r="F8" s="10" t="s">
        <v>40</v>
      </c>
      <c r="G8" s="10"/>
      <c r="H8" s="10"/>
      <c r="I8" s="10"/>
      <c r="J8" s="11"/>
    </row>
    <row r="9" customFormat="false" ht="23.85" hidden="false" customHeight="false" outlineLevel="0" collapsed="false">
      <c r="A9" s="9" t="s">
        <v>61</v>
      </c>
      <c r="B9" s="9" t="s">
        <v>36</v>
      </c>
      <c r="C9" s="9" t="s">
        <v>62</v>
      </c>
      <c r="D9" s="9" t="s">
        <v>63</v>
      </c>
      <c r="E9" s="9" t="s">
        <v>64</v>
      </c>
      <c r="F9" s="10" t="s">
        <v>40</v>
      </c>
      <c r="G9" s="10"/>
      <c r="H9" s="10"/>
      <c r="I9" s="10"/>
      <c r="J9" s="11"/>
    </row>
    <row r="10" customFormat="false" ht="15" hidden="false" customHeight="false" outlineLevel="0" collapsed="false">
      <c r="A10" s="9" t="s">
        <v>65</v>
      </c>
      <c r="B10" s="9" t="s">
        <v>66</v>
      </c>
      <c r="C10" s="9" t="s">
        <v>67</v>
      </c>
      <c r="D10" s="9" t="s">
        <v>68</v>
      </c>
      <c r="E10" s="9" t="s">
        <v>69</v>
      </c>
      <c r="F10" s="10" t="s">
        <v>40</v>
      </c>
      <c r="G10" s="10"/>
      <c r="H10" s="10"/>
      <c r="I10" s="10"/>
      <c r="J10" s="11"/>
    </row>
    <row r="11" customFormat="false" ht="23.85" hidden="false" customHeight="false" outlineLevel="0" collapsed="false">
      <c r="A11" s="9" t="s">
        <v>24</v>
      </c>
      <c r="B11" s="9" t="s">
        <v>66</v>
      </c>
      <c r="C11" s="9" t="s">
        <v>67</v>
      </c>
      <c r="D11" s="9" t="s">
        <v>70</v>
      </c>
      <c r="E11" s="9" t="s">
        <v>71</v>
      </c>
      <c r="F11" s="10" t="s">
        <v>40</v>
      </c>
      <c r="G11" s="10"/>
      <c r="H11" s="10"/>
      <c r="I11" s="10"/>
      <c r="J11" s="11"/>
    </row>
    <row r="12" customFormat="false" ht="15" hidden="false" customHeight="false" outlineLevel="0" collapsed="false">
      <c r="A12" s="9" t="s">
        <v>72</v>
      </c>
      <c r="B12" s="9" t="s">
        <v>66</v>
      </c>
      <c r="C12" s="9" t="s">
        <v>48</v>
      </c>
      <c r="D12" s="9" t="s">
        <v>73</v>
      </c>
      <c r="E12" s="9" t="s">
        <v>74</v>
      </c>
      <c r="F12" s="10" t="s">
        <v>40</v>
      </c>
      <c r="G12" s="10"/>
      <c r="H12" s="10"/>
      <c r="I12" s="10"/>
      <c r="J12" s="11"/>
    </row>
    <row r="13" customFormat="false" ht="23.85" hidden="false" customHeight="false" outlineLevel="0" collapsed="false">
      <c r="A13" s="9" t="s">
        <v>75</v>
      </c>
      <c r="B13" s="9" t="s">
        <v>66</v>
      </c>
      <c r="C13" s="9" t="s">
        <v>76</v>
      </c>
      <c r="D13" s="9" t="s">
        <v>77</v>
      </c>
      <c r="E13" s="9" t="s">
        <v>78</v>
      </c>
      <c r="F13" s="10" t="s">
        <v>40</v>
      </c>
      <c r="G13" s="10"/>
      <c r="H13" s="10"/>
      <c r="I13" s="10"/>
      <c r="J13" s="11"/>
    </row>
    <row r="14" customFormat="false" ht="23.85" hidden="false" customHeight="false" outlineLevel="0" collapsed="false">
      <c r="A14" s="9" t="s">
        <v>79</v>
      </c>
      <c r="B14" s="9" t="s">
        <v>66</v>
      </c>
      <c r="C14" s="9" t="s">
        <v>80</v>
      </c>
      <c r="D14" s="9" t="s">
        <v>81</v>
      </c>
      <c r="E14" s="9" t="s">
        <v>82</v>
      </c>
      <c r="F14" s="10" t="s">
        <v>40</v>
      </c>
      <c r="G14" s="10"/>
      <c r="H14" s="10"/>
      <c r="I14" s="10"/>
      <c r="J14" s="11"/>
    </row>
    <row r="15" customFormat="false" ht="15" hidden="false" customHeight="false" outlineLevel="0" collapsed="false">
      <c r="A15" s="9" t="s">
        <v>83</v>
      </c>
      <c r="B15" s="9" t="s">
        <v>66</v>
      </c>
      <c r="C15" s="9" t="s">
        <v>84</v>
      </c>
      <c r="D15" s="9" t="s">
        <v>85</v>
      </c>
      <c r="E15" s="9" t="s">
        <v>86</v>
      </c>
      <c r="F15" s="10" t="s">
        <v>40</v>
      </c>
      <c r="G15" s="10"/>
      <c r="H15" s="10"/>
      <c r="I15" s="10"/>
      <c r="J15" s="11"/>
    </row>
    <row r="16" customFormat="false" ht="23.85" hidden="false" customHeight="false" outlineLevel="0" collapsed="false">
      <c r="A16" s="9" t="s">
        <v>87</v>
      </c>
      <c r="B16" s="9" t="s">
        <v>66</v>
      </c>
      <c r="C16" s="9" t="s">
        <v>84</v>
      </c>
      <c r="D16" s="9" t="s">
        <v>88</v>
      </c>
      <c r="E16" s="9" t="s">
        <v>89</v>
      </c>
      <c r="F16" s="10" t="s">
        <v>40</v>
      </c>
      <c r="G16" s="10"/>
      <c r="H16" s="10"/>
      <c r="I16" s="10"/>
      <c r="J16" s="11"/>
    </row>
    <row r="17" customFormat="false" ht="23.85" hidden="false" customHeight="false" outlineLevel="0" collapsed="false">
      <c r="A17" s="9" t="s">
        <v>90</v>
      </c>
      <c r="B17" s="9" t="s">
        <v>66</v>
      </c>
      <c r="C17" s="9" t="s">
        <v>91</v>
      </c>
      <c r="D17" s="9" t="s">
        <v>92</v>
      </c>
      <c r="E17" s="9" t="s">
        <v>93</v>
      </c>
      <c r="F17" s="10" t="s">
        <v>40</v>
      </c>
      <c r="G17" s="10"/>
      <c r="H17" s="10"/>
      <c r="I17" s="10"/>
      <c r="J17" s="11"/>
    </row>
    <row r="18" customFormat="false" ht="15" hidden="false" customHeight="false" outlineLevel="0" collapsed="false">
      <c r="A18" s="9" t="s">
        <v>94</v>
      </c>
      <c r="B18" s="9" t="s">
        <v>95</v>
      </c>
      <c r="C18" s="9" t="s">
        <v>48</v>
      </c>
      <c r="D18" s="9" t="s">
        <v>96</v>
      </c>
      <c r="E18" s="9" t="s">
        <v>97</v>
      </c>
      <c r="F18" s="10" t="s">
        <v>40</v>
      </c>
      <c r="G18" s="10"/>
      <c r="H18" s="10"/>
      <c r="I18" s="10"/>
      <c r="J18" s="11"/>
    </row>
    <row r="19" customFormat="false" ht="15" hidden="false" customHeight="false" outlineLevel="0" collapsed="false">
      <c r="A19" s="9" t="s">
        <v>98</v>
      </c>
      <c r="B19" s="9" t="s">
        <v>95</v>
      </c>
      <c r="C19" s="9" t="s">
        <v>67</v>
      </c>
      <c r="D19" s="9" t="s">
        <v>99</v>
      </c>
      <c r="E19" s="9" t="s">
        <v>100</v>
      </c>
      <c r="F19" s="10" t="s">
        <v>40</v>
      </c>
      <c r="G19" s="10"/>
      <c r="H19" s="10"/>
      <c r="I19" s="10"/>
      <c r="J19" s="11"/>
    </row>
    <row r="20" customFormat="false" ht="23.85" hidden="false" customHeight="false" outlineLevel="0" collapsed="false">
      <c r="A20" s="9" t="s">
        <v>101</v>
      </c>
      <c r="B20" s="9" t="s">
        <v>95</v>
      </c>
      <c r="C20" s="9" t="s">
        <v>102</v>
      </c>
      <c r="D20" s="9" t="s">
        <v>103</v>
      </c>
      <c r="E20" s="9" t="s">
        <v>104</v>
      </c>
      <c r="F20" s="10" t="s">
        <v>40</v>
      </c>
      <c r="G20" s="10"/>
      <c r="H20" s="10"/>
      <c r="I20" s="10"/>
      <c r="J20" s="11"/>
    </row>
    <row r="21" customFormat="false" ht="15" hidden="false" customHeight="false" outlineLevel="0" collapsed="false">
      <c r="A21" s="9" t="s">
        <v>105</v>
      </c>
      <c r="B21" s="9" t="s">
        <v>95</v>
      </c>
      <c r="C21" s="9" t="s">
        <v>55</v>
      </c>
      <c r="D21" s="9" t="s">
        <v>106</v>
      </c>
      <c r="E21" s="9" t="s">
        <v>53</v>
      </c>
      <c r="F21" s="10" t="s">
        <v>40</v>
      </c>
      <c r="G21" s="10"/>
      <c r="H21" s="10"/>
      <c r="I21" s="10"/>
      <c r="J21" s="11"/>
    </row>
    <row r="22" customFormat="false" ht="23.85" hidden="false" customHeight="false" outlineLevel="0" collapsed="false">
      <c r="A22" s="9" t="s">
        <v>107</v>
      </c>
      <c r="B22" s="9" t="s">
        <v>108</v>
      </c>
      <c r="C22" s="9" t="s">
        <v>102</v>
      </c>
      <c r="D22" s="9" t="s">
        <v>109</v>
      </c>
      <c r="E22" s="9" t="s">
        <v>110</v>
      </c>
      <c r="F22" s="10" t="s">
        <v>40</v>
      </c>
      <c r="G22" s="10"/>
      <c r="H22" s="10"/>
      <c r="I22" s="10"/>
      <c r="J22" s="11"/>
    </row>
    <row r="23" customFormat="false" ht="15" hidden="false" customHeight="false" outlineLevel="0" collapsed="false">
      <c r="A23" s="9" t="s">
        <v>111</v>
      </c>
      <c r="B23" s="9" t="s">
        <v>108</v>
      </c>
      <c r="C23" s="9" t="s">
        <v>112</v>
      </c>
      <c r="D23" s="9" t="s">
        <v>113</v>
      </c>
      <c r="E23" s="9" t="s">
        <v>114</v>
      </c>
      <c r="F23" s="10" t="s">
        <v>40</v>
      </c>
      <c r="G23" s="10"/>
      <c r="H23" s="10"/>
      <c r="I23" s="10"/>
      <c r="J23" s="11"/>
    </row>
    <row r="24" customFormat="false" ht="23.85" hidden="false" customHeight="false" outlineLevel="0" collapsed="false">
      <c r="A24" s="9" t="s">
        <v>115</v>
      </c>
      <c r="B24" s="9" t="s">
        <v>116</v>
      </c>
      <c r="C24" s="9" t="s">
        <v>48</v>
      </c>
      <c r="D24" s="9" t="s">
        <v>117</v>
      </c>
      <c r="E24" s="9" t="s">
        <v>118</v>
      </c>
      <c r="F24" s="10" t="s">
        <v>40</v>
      </c>
      <c r="G24" s="10"/>
      <c r="H24" s="10"/>
      <c r="I24" s="10"/>
      <c r="J24" s="11"/>
    </row>
    <row r="25" customFormat="false" ht="23.85" hidden="false" customHeight="false" outlineLevel="0" collapsed="false">
      <c r="A25" s="9" t="s">
        <v>119</v>
      </c>
      <c r="B25" s="9" t="s">
        <v>116</v>
      </c>
      <c r="C25" s="9" t="s">
        <v>48</v>
      </c>
      <c r="D25" s="9" t="s">
        <v>120</v>
      </c>
      <c r="E25" s="9" t="s">
        <v>121</v>
      </c>
      <c r="F25" s="10" t="s">
        <v>40</v>
      </c>
      <c r="G25" s="10"/>
      <c r="H25" s="10"/>
      <c r="I25" s="10"/>
      <c r="J25" s="11"/>
    </row>
    <row r="26" customFormat="false" ht="15" hidden="false" customHeight="false" outlineLevel="0" collapsed="false">
      <c r="A26" s="9" t="s">
        <v>122</v>
      </c>
      <c r="B26" s="9" t="s">
        <v>116</v>
      </c>
      <c r="C26" s="9" t="s">
        <v>102</v>
      </c>
      <c r="D26" s="9" t="s">
        <v>123</v>
      </c>
      <c r="E26" s="9" t="s">
        <v>124</v>
      </c>
      <c r="F26" s="10" t="s">
        <v>40</v>
      </c>
      <c r="G26" s="10"/>
      <c r="H26" s="10"/>
      <c r="I26" s="10"/>
      <c r="J26" s="11"/>
    </row>
    <row r="27" customFormat="false" ht="15" hidden="false" customHeight="false" outlineLevel="0" collapsed="false">
      <c r="A27" s="9" t="s">
        <v>125</v>
      </c>
      <c r="B27" s="9" t="s">
        <v>116</v>
      </c>
      <c r="C27" s="9" t="s">
        <v>112</v>
      </c>
      <c r="D27" s="9" t="s">
        <v>126</v>
      </c>
      <c r="E27" s="9" t="s">
        <v>127</v>
      </c>
      <c r="F27" s="10" t="s">
        <v>40</v>
      </c>
      <c r="G27" s="10"/>
      <c r="H27" s="10"/>
      <c r="I27" s="10"/>
      <c r="J27" s="11"/>
    </row>
    <row r="28" customFormat="false" ht="15" hidden="false" customHeight="false" outlineLevel="0" collapsed="false">
      <c r="A28" s="9" t="s">
        <v>128</v>
      </c>
      <c r="B28" s="9" t="s">
        <v>129</v>
      </c>
      <c r="C28" s="9" t="s">
        <v>130</v>
      </c>
      <c r="D28" s="9" t="s">
        <v>131</v>
      </c>
      <c r="E28" s="9" t="s">
        <v>132</v>
      </c>
      <c r="F28" s="10" t="s">
        <v>40</v>
      </c>
      <c r="G28" s="10"/>
      <c r="H28" s="10"/>
      <c r="I28" s="10"/>
      <c r="J28" s="11"/>
    </row>
    <row r="29" customFormat="false" ht="15" hidden="false" customHeight="false" outlineLevel="0" collapsed="false">
      <c r="A29" s="9" t="s">
        <v>133</v>
      </c>
      <c r="B29" s="9" t="s">
        <v>129</v>
      </c>
      <c r="C29" s="9" t="s">
        <v>55</v>
      </c>
      <c r="D29" s="9" t="s">
        <v>134</v>
      </c>
      <c r="E29" s="9" t="s">
        <v>135</v>
      </c>
      <c r="F29" s="10" t="s">
        <v>40</v>
      </c>
      <c r="G29" s="10"/>
      <c r="H29" s="10"/>
      <c r="I29" s="10"/>
      <c r="J29" s="11"/>
    </row>
    <row r="30" customFormat="false" ht="15" hidden="false" customHeight="false" outlineLevel="0" collapsed="false">
      <c r="A30" s="9" t="s">
        <v>136</v>
      </c>
      <c r="B30" s="9" t="s">
        <v>137</v>
      </c>
      <c r="C30" s="9" t="s">
        <v>102</v>
      </c>
      <c r="D30" s="9" t="s">
        <v>138</v>
      </c>
      <c r="E30" s="9" t="s">
        <v>139</v>
      </c>
      <c r="F30" s="10" t="s">
        <v>40</v>
      </c>
      <c r="G30" s="10"/>
      <c r="H30" s="10"/>
      <c r="I30" s="10"/>
      <c r="J30" s="11"/>
    </row>
    <row r="31" customFormat="false" ht="23.85" hidden="false" customHeight="false" outlineLevel="0" collapsed="false">
      <c r="A31" s="9" t="s">
        <v>140</v>
      </c>
      <c r="B31" s="9" t="s">
        <v>137</v>
      </c>
      <c r="C31" s="9" t="s">
        <v>48</v>
      </c>
      <c r="D31" s="9" t="s">
        <v>141</v>
      </c>
      <c r="E31" s="9" t="s">
        <v>142</v>
      </c>
      <c r="F31" s="10" t="s">
        <v>40</v>
      </c>
      <c r="G31" s="10"/>
      <c r="H31" s="10"/>
      <c r="I31" s="10"/>
      <c r="J31" s="11"/>
    </row>
    <row r="32" customFormat="false" ht="15" hidden="false" customHeight="false" outlineLevel="0" collapsed="false">
      <c r="A32" s="9" t="s">
        <v>143</v>
      </c>
      <c r="B32" s="9" t="s">
        <v>137</v>
      </c>
      <c r="C32" s="9" t="s">
        <v>62</v>
      </c>
      <c r="D32" s="9" t="s">
        <v>144</v>
      </c>
      <c r="E32" s="9" t="s">
        <v>145</v>
      </c>
      <c r="F32" s="10" t="s">
        <v>40</v>
      </c>
      <c r="G32" s="10"/>
      <c r="H32" s="10"/>
      <c r="I32" s="10"/>
      <c r="J32" s="11"/>
    </row>
  </sheetData>
  <dataValidations count="1">
    <dataValidation allowBlank="false" error="Choose Yes, Partly, No or Not checked." errorStyle="stop" operator="between" showDropDown="false" showErrorMessage="false" showInputMessage="false" sqref="F2:F32" type="list">
      <formula1>"Yes,Partly,No,Not checked"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7" min="2" style="0" width="11"/>
    <col collapsed="false" customWidth="true" hidden="false" outlineLevel="0" max="8" min="8" style="0" width="45"/>
    <col collapsed="false" customWidth="true" hidden="false" outlineLevel="0" max="9" min="9" style="0" width="10"/>
    <col collapsed="false" customWidth="true" hidden="false" outlineLevel="0" max="10" min="10" style="0" width="14"/>
  </cols>
  <sheetData>
    <row r="1" customFormat="false" ht="17.35" hidden="false" customHeight="false" outlineLevel="0" collapsed="false">
      <c r="A1" s="12" t="s">
        <v>146</v>
      </c>
    </row>
    <row r="2" customFormat="false" ht="30" hidden="false" customHeight="true" outlineLevel="0" collapsed="false">
      <c r="A2" s="13" t="s">
        <v>147</v>
      </c>
      <c r="B2" s="13"/>
      <c r="C2" s="13"/>
      <c r="D2" s="13"/>
      <c r="E2" s="13"/>
      <c r="F2" s="13"/>
      <c r="G2" s="13"/>
      <c r="H2" s="13"/>
      <c r="I2" s="13"/>
      <c r="J2" s="13"/>
    </row>
    <row r="4" customFormat="false" ht="15" hidden="false" customHeight="false" outlineLevel="0" collapsed="false">
      <c r="A4" s="8" t="s">
        <v>30</v>
      </c>
      <c r="B4" s="8" t="s">
        <v>37</v>
      </c>
      <c r="C4" s="8" t="s">
        <v>48</v>
      </c>
      <c r="D4" s="8" t="s">
        <v>102</v>
      </c>
      <c r="E4" s="8" t="s">
        <v>91</v>
      </c>
      <c r="F4" s="8" t="s">
        <v>148</v>
      </c>
      <c r="G4" s="8" t="s">
        <v>149</v>
      </c>
      <c r="H4" s="8" t="s">
        <v>150</v>
      </c>
      <c r="I4" s="8" t="s">
        <v>151</v>
      </c>
      <c r="J4" s="8" t="s">
        <v>152</v>
      </c>
    </row>
    <row r="5" customFormat="false" ht="15" hidden="false" customHeight="false" outlineLevel="0" collapsed="false">
      <c r="A5" s="14" t="s">
        <v>66</v>
      </c>
      <c r="B5" s="15" t="s">
        <v>153</v>
      </c>
      <c r="C5" s="15" t="s">
        <v>153</v>
      </c>
      <c r="D5" s="15" t="s">
        <v>153</v>
      </c>
      <c r="E5" s="15" t="s">
        <v>153</v>
      </c>
      <c r="F5" s="15" t="s">
        <v>153</v>
      </c>
      <c r="G5" s="15" t="s">
        <v>153</v>
      </c>
      <c r="H5" s="10"/>
      <c r="I5" s="16" t="n">
        <f aca="false">COUNTIF(B5:G5,"Open")</f>
        <v>6</v>
      </c>
      <c r="J5" s="17" t="str">
        <f aca="false">IF(COUNTIF(B5:G5,"Reject")&gt;0,"Reject",IF(COUNTIF(B5:G5,"Open")&gt;0,"Open",IF(COUNTIF(B5:G5,"Redesign")&gt;0,"Redesign","Pass")))</f>
        <v>Open</v>
      </c>
    </row>
    <row r="6" customFormat="false" ht="15" hidden="false" customHeight="false" outlineLevel="0" collapsed="false">
      <c r="A6" s="14" t="s">
        <v>95</v>
      </c>
      <c r="B6" s="15" t="s">
        <v>153</v>
      </c>
      <c r="C6" s="15" t="s">
        <v>153</v>
      </c>
      <c r="D6" s="15" t="s">
        <v>153</v>
      </c>
      <c r="E6" s="15" t="s">
        <v>153</v>
      </c>
      <c r="F6" s="15" t="s">
        <v>153</v>
      </c>
      <c r="G6" s="15" t="s">
        <v>153</v>
      </c>
      <c r="H6" s="10"/>
      <c r="I6" s="16" t="n">
        <f aca="false">COUNTIF(B6:G6,"Open")</f>
        <v>6</v>
      </c>
      <c r="J6" s="17" t="str">
        <f aca="false">IF(COUNTIF(B6:G6,"Reject")&gt;0,"Reject",IF(COUNTIF(B6:G6,"Open")&gt;0,"Open",IF(COUNTIF(B6:G6,"Redesign")&gt;0,"Redesign","Pass")))</f>
        <v>Open</v>
      </c>
    </row>
    <row r="7" customFormat="false" ht="15" hidden="false" customHeight="false" outlineLevel="0" collapsed="false">
      <c r="A7" s="14" t="s">
        <v>108</v>
      </c>
      <c r="B7" s="15" t="s">
        <v>153</v>
      </c>
      <c r="C7" s="15" t="s">
        <v>153</v>
      </c>
      <c r="D7" s="15" t="s">
        <v>153</v>
      </c>
      <c r="E7" s="15" t="s">
        <v>153</v>
      </c>
      <c r="F7" s="15" t="s">
        <v>153</v>
      </c>
      <c r="G7" s="15" t="s">
        <v>153</v>
      </c>
      <c r="H7" s="10"/>
      <c r="I7" s="16" t="n">
        <f aca="false">COUNTIF(B7:G7,"Open")</f>
        <v>6</v>
      </c>
      <c r="J7" s="17" t="str">
        <f aca="false">IF(COUNTIF(B7:G7,"Reject")&gt;0,"Reject",IF(COUNTIF(B7:G7,"Open")&gt;0,"Open",IF(COUNTIF(B7:G7,"Redesign")&gt;0,"Redesign","Pass")))</f>
        <v>Open</v>
      </c>
    </row>
    <row r="8" customFormat="false" ht="15" hidden="false" customHeight="false" outlineLevel="0" collapsed="false">
      <c r="A8" s="14" t="s">
        <v>116</v>
      </c>
      <c r="B8" s="15" t="s">
        <v>153</v>
      </c>
      <c r="C8" s="15" t="s">
        <v>153</v>
      </c>
      <c r="D8" s="15" t="s">
        <v>153</v>
      </c>
      <c r="E8" s="15" t="s">
        <v>153</v>
      </c>
      <c r="F8" s="15" t="s">
        <v>153</v>
      </c>
      <c r="G8" s="15" t="s">
        <v>153</v>
      </c>
      <c r="H8" s="10"/>
      <c r="I8" s="16" t="n">
        <f aca="false">COUNTIF(B8:G8,"Open")</f>
        <v>6</v>
      </c>
      <c r="J8" s="17" t="str">
        <f aca="false">IF(COUNTIF(B8:G8,"Reject")&gt;0,"Reject",IF(COUNTIF(B8:G8,"Open")&gt;0,"Open",IF(COUNTIF(B8:G8,"Redesign")&gt;0,"Redesign","Pass")))</f>
        <v>Open</v>
      </c>
    </row>
    <row r="9" customFormat="false" ht="15" hidden="false" customHeight="false" outlineLevel="0" collapsed="false">
      <c r="A9" s="14" t="s">
        <v>129</v>
      </c>
      <c r="B9" s="15" t="s">
        <v>153</v>
      </c>
      <c r="C9" s="15" t="s">
        <v>153</v>
      </c>
      <c r="D9" s="15" t="s">
        <v>153</v>
      </c>
      <c r="E9" s="15" t="s">
        <v>153</v>
      </c>
      <c r="F9" s="15" t="s">
        <v>153</v>
      </c>
      <c r="G9" s="15" t="s">
        <v>153</v>
      </c>
      <c r="H9" s="10"/>
      <c r="I9" s="16" t="n">
        <f aca="false">COUNTIF(B9:G9,"Open")</f>
        <v>6</v>
      </c>
      <c r="J9" s="17" t="str">
        <f aca="false">IF(COUNTIF(B9:G9,"Reject")&gt;0,"Reject",IF(COUNTIF(B9:G9,"Open")&gt;0,"Open",IF(COUNTIF(B9:G9,"Redesign")&gt;0,"Redesign","Pass")))</f>
        <v>Open</v>
      </c>
    </row>
    <row r="10" customFormat="false" ht="15" hidden="false" customHeight="false" outlineLevel="0" collapsed="false">
      <c r="A10" s="14" t="s">
        <v>137</v>
      </c>
      <c r="B10" s="15" t="s">
        <v>153</v>
      </c>
      <c r="C10" s="15" t="s">
        <v>153</v>
      </c>
      <c r="D10" s="15" t="s">
        <v>153</v>
      </c>
      <c r="E10" s="15" t="s">
        <v>153</v>
      </c>
      <c r="F10" s="15" t="s">
        <v>153</v>
      </c>
      <c r="G10" s="15" t="s">
        <v>153</v>
      </c>
      <c r="H10" s="10"/>
      <c r="I10" s="16" t="n">
        <f aca="false">COUNTIF(B10:G10,"Open")</f>
        <v>6</v>
      </c>
      <c r="J10" s="17" t="str">
        <f aca="false">IF(COUNTIF(B10:G10,"Reject")&gt;0,"Reject",IF(COUNTIF(B10:G10,"Open")&gt;0,"Open",IF(COUNTIF(B10:G10,"Redesign")&gt;0,"Redesign","Pass")))</f>
        <v>Open</v>
      </c>
    </row>
    <row r="12" customFormat="false" ht="15" hidden="false" customHeight="false" outlineLevel="0" collapsed="false">
      <c r="A12" s="5" t="s">
        <v>154</v>
      </c>
    </row>
    <row r="13" customFormat="false" ht="15" hidden="false" customHeight="false" outlineLevel="0" collapsed="false">
      <c r="A13" s="4" t="s">
        <v>37</v>
      </c>
      <c r="B13" s="18" t="s">
        <v>155</v>
      </c>
      <c r="C13" s="18"/>
      <c r="D13" s="18"/>
      <c r="E13" s="18"/>
      <c r="F13" s="18"/>
      <c r="G13" s="18"/>
      <c r="H13" s="18"/>
      <c r="I13" s="18"/>
      <c r="J13" s="18"/>
    </row>
    <row r="14" customFormat="false" ht="15" hidden="false" customHeight="false" outlineLevel="0" collapsed="false">
      <c r="A14" s="4" t="s">
        <v>48</v>
      </c>
      <c r="B14" s="18" t="s">
        <v>156</v>
      </c>
      <c r="C14" s="18"/>
      <c r="D14" s="18"/>
      <c r="E14" s="18"/>
      <c r="F14" s="18"/>
      <c r="G14" s="18"/>
      <c r="H14" s="18"/>
      <c r="I14" s="18"/>
      <c r="J14" s="18"/>
    </row>
    <row r="15" customFormat="false" ht="15" hidden="false" customHeight="false" outlineLevel="0" collapsed="false">
      <c r="A15" s="4" t="s">
        <v>102</v>
      </c>
      <c r="B15" s="18" t="s">
        <v>157</v>
      </c>
      <c r="C15" s="18"/>
      <c r="D15" s="18"/>
      <c r="E15" s="18"/>
      <c r="F15" s="18"/>
      <c r="G15" s="18"/>
      <c r="H15" s="18"/>
      <c r="I15" s="18"/>
      <c r="J15" s="18"/>
    </row>
    <row r="16" customFormat="false" ht="15" hidden="false" customHeight="false" outlineLevel="0" collapsed="false">
      <c r="A16" s="4" t="s">
        <v>91</v>
      </c>
      <c r="B16" s="18" t="s">
        <v>158</v>
      </c>
      <c r="C16" s="18"/>
      <c r="D16" s="18"/>
      <c r="E16" s="18"/>
      <c r="F16" s="18"/>
      <c r="G16" s="18"/>
      <c r="H16" s="18"/>
      <c r="I16" s="18"/>
      <c r="J16" s="18"/>
    </row>
    <row r="17" customFormat="false" ht="15" hidden="false" customHeight="false" outlineLevel="0" collapsed="false">
      <c r="A17" s="4" t="s">
        <v>148</v>
      </c>
      <c r="B17" s="18" t="s">
        <v>159</v>
      </c>
      <c r="C17" s="18"/>
      <c r="D17" s="18"/>
      <c r="E17" s="18"/>
      <c r="F17" s="18"/>
      <c r="G17" s="18"/>
      <c r="H17" s="18"/>
      <c r="I17" s="18"/>
      <c r="J17" s="18"/>
    </row>
    <row r="18" customFormat="false" ht="15" hidden="false" customHeight="false" outlineLevel="0" collapsed="false">
      <c r="A18" s="4" t="s">
        <v>149</v>
      </c>
      <c r="B18" s="18" t="s">
        <v>160</v>
      </c>
      <c r="C18" s="18"/>
      <c r="D18" s="18"/>
      <c r="E18" s="18"/>
      <c r="F18" s="18"/>
      <c r="G18" s="18"/>
      <c r="H18" s="18"/>
      <c r="I18" s="18"/>
      <c r="J18" s="18"/>
    </row>
  </sheetData>
  <mergeCells count="7">
    <mergeCell ref="A2:J2"/>
    <mergeCell ref="B13:J13"/>
    <mergeCell ref="B14:J14"/>
    <mergeCell ref="B15:J15"/>
    <mergeCell ref="B16:J16"/>
    <mergeCell ref="B17:J17"/>
    <mergeCell ref="B18:J18"/>
  </mergeCells>
  <dataValidations count="1">
    <dataValidation allowBlank="false" error="Choose Pass, Redesign, Reject or Open." errorStyle="stop" operator="between" showDropDown="false" showErrorMessage="false" showInputMessage="false" sqref="B5:G10" type="list">
      <formula1>"Pass,Redesign,Reject,Open"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2026-10-07T06:26:04Z</dcterms:created>
  <dc:creator>openpyxl</dc:creator>
  <dc:description/>
  <dc:language>en-US</dc:language>
  <cp:lastModifiedBy/>
  <dcterms:modified xsi:type="dcterms:W3CDTF">2026-10-07T06:26:04Z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